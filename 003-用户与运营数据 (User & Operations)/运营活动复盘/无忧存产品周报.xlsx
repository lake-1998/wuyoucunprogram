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2026.2.23-3.11" sheetId="1" r:id="rId1"/>
    <sheet name="2026.1.26" sheetId="2" r:id="rId2"/>
    <sheet name="草稿" sheetId="3" r:id="rId3"/>
    <sheet name="2026.1.19" sheetId="4" r:id="rId4"/>
    <sheet name="2026.1.12" sheetId="5" r:id="rId5"/>
    <sheet name="2026.1.5周会" sheetId="6" r:id="rId6"/>
    <sheet name="2025.12.29周会" sheetId="7" r:id="rId7"/>
    <sheet name="2025.12.22周会" sheetId="8" r:id="rId8"/>
    <sheet name="2025.12.15周会" sheetId="9" r:id="rId9"/>
    <sheet name="2025.12.8周会" sheetId="10" r:id="rId10"/>
    <sheet name="2025.12.1周会" sheetId="11" r:id="rId11"/>
    <sheet name="2025.11.24周会" sheetId="12" r:id="rId12"/>
    <sheet name="2025.11.17周会" sheetId="13" r:id="rId13"/>
    <sheet name="2025.11.10周会" sheetId="14" r:id="rId14"/>
  </sheets>
  <calcPr calcId="0"/>
</workbook>
</file>

<file path=xl/sharedStrings.xml><?xml version="1.0" encoding="utf-8"?>
<sst xmlns="http://schemas.openxmlformats.org/spreadsheetml/2006/main">
  <si>
    <t>无忧存产品周报</t>
  </si>
  <si>
    <t>周期：2025.2.23 - 2026.3.1</t>
  </si>
  <si>
    <t>负责人：张言</t>
  </si>
  <si>
    <t>无忧存数据指标</t>
  </si>
  <si/>
  <si>
    <t>指标</t>
  </si>
  <si>
    <t>人工寄存数据</t>
  </si>
  <si>
    <t>引流寄存柜数据</t>
  </si>
  <si>
    <t>合计</t>
  </si>
  <si>
    <t>环比</t>
  </si>
  <si>
    <t>备注</t>
  </si>
  <si>
    <t>访问数</t>
  </si>
  <si>
    <t>订单数</t>
  </si>
  <si>
    <t>转化率</t>
  </si>
  <si>
    <t>— —</t>
  </si>
  <si>
    <t>客单价</t>
  </si>
  <si>
    <t>营收</t>
  </si>
  <si>
    <t>订单取消率</t>
  </si>
  <si>
    <t>产品进展</t>
  </si>
  <si>
    <t>目标</t>
  </si>
  <si>
    <t>原因/动作</t>
  </si>
  <si>
    <t>进展</t>
  </si>
  <si>
    <t>效果</t>
  </si>
  <si>
    <t>转化率提升5%</t>
  </si>
  <si>
    <t>现在多数从无忧存找到的柜子网点不支持预定，在产品层面接不住用户流量</t>
  </si>
  <si>
    <t>开发测试中（已经延期）</t>
  </si>
  <si>
    <t>订单取消率控制在10%以内</t>
  </si>
  <si>
    <t>— — 目前看起来是产研无法解决的问题。只能进行优化。会加入挽回策略</t>
  </si>
  <si>
    <t/>
  </si>
  <si>
    <t>ui 和 ue 优化</t>
  </si>
  <si>
    <t>停滞。卡点在于没有专门的产品经理去R</t>
  </si>
  <si>
    <t>其它重要事项</t>
  </si>
  <si>
    <t>4%客诉率降低</t>
  </si>
  <si>
    <t>当前用户下单后，若取消订单，直接扣除20%。过于粗暴，容易引起客诉。方案是通过地理位置的策略来控制。距离近违约金高</t>
  </si>
  <si>
    <t>完成</t>
  </si>
  <si>
    <t>春节期间没看到同类型客诉</t>
  </si>
  <si>
    <t>周期：2025.1.19 - 2026.1.25</t>
  </si>
  <si>
    <t>-7.03%</t>
  </si>
  <si>
    <t>-1.17%</t>
  </si>
  <si>
    <t>-0.01%</t>
  </si>
  <si>
    <t>研发中。节后上线</t>
  </si>
  <si>
    <t>网点快速开拓</t>
  </si>
  <si>
    <t>当前新网点开拓需要2天及以上 / 优化开通服务商的服务商和内部审核流程，一次到位</t>
  </si>
  <si>
    <t>研发中</t>
  </si>
  <si>
    <t>网点的迅速开拓决定用户需求的满足度，现在本质是地推模式，人力资源有限，尽量减少一个市场去一个网点多次的问题</t>
  </si>
  <si>
    <t>汕头-小公园 的网点，当着面飞单，而平台对用户和商家的管控力不足或很后滞 / 优化当前的优惠券逻辑。不是免费给用户发券，而是用户需要买券，不可以退，只能下次用。可以退单，但是不能退券</t>
  </si>
  <si>
    <t>设计中</t>
  </si>
  <si>
    <t>在产品没有决定性价值的前提下，先缓解用户取消订单转私下订单的问题，再缓解商家侧主动让用户取消订单的问题</t>
  </si>
  <si>
    <t>本周进研发</t>
  </si>
  <si>
    <t>小红书转介绍抓手（碰碰贴）</t>
  </si>
  <si>
    <t>从微信到小红书发帖的用户路径</t>
  </si>
  <si>
    <t>投流渠道</t>
  </si>
  <si>
    <t>“分销”或“口令”。核心是在于渠道统计与渠道扩量的新方式</t>
  </si>
  <si>
    <t>滴滴换量</t>
  </si>
  <si>
    <t>重点是与第三方换量，在第三方的券或福利可以在柜和人工网点使用。将模式固定下来</t>
  </si>
  <si>
    <t>研发中，节前上线</t>
  </si>
  <si>
    <t>周期：2025.2.15 - 2026.2.23</t>
  </si>
  <si>
    <t>周期：2025.1.12 - 2026.1.18</t>
  </si>
  <si>
    <t>+6.55%</t>
  </si>
  <si>
    <t>-1..32%</t>
  </si>
  <si>
    <t>-7..69%</t>
  </si>
  <si>
    <t>-14..18%</t>
  </si>
  <si>
    <t>-15.31%</t>
  </si>
  <si>
    <t>+0.32%</t>
  </si>
  <si>
    <t>流量变少，但是取消率增多或不变，说明订单取消率高是一个待解的问题</t>
  </si>
  <si>
    <t>周期：2025.1.5 - 2026.1.11</t>
  </si>
  <si>
    <t>-55.33%</t>
  </si>
  <si>
    <t>-50.37%</t>
  </si>
  <si>
    <t>+11.09%</t>
  </si>
  <si>
    <t>+26.03%</t>
  </si>
  <si>
    <t>-37.49%</t>
  </si>
  <si>
    <t>+0.7%</t>
  </si>
  <si>
    <t>方案设计完成，待确认</t>
  </si>
  <si>
    <t>周期：2025.12.29 - 2026.1.5</t>
  </si>
  <si>
    <t>+102.47%</t>
  </si>
  <si>
    <t>仅有9%的一级流量来自于线下的直接引流</t>
  </si>
  <si>
    <t>+88.45%</t>
  </si>
  <si>
    <t>-6.96%</t>
  </si>
  <si>
    <t>-3.45%</t>
  </si>
  <si>
    <t>+81.95%</t>
  </si>
  <si>
    <t>需求梳理完成，本周设计完成方案</t>
  </si>
  <si>
    <t>周期：2025.12.21 - 2025.12.27</t>
  </si>
  <si>
    <t>负责人：石佳惠</t>
  </si>
  <si>
    <t>+14.03%</t>
  </si>
  <si>
    <t>+17.07%</t>
  </si>
  <si>
    <t>+2.63%</t>
  </si>
  <si>
    <t>+3.23%</t>
  </si>
  <si>
    <t>+20.81%</t>
  </si>
  <si>
    <t>动作</t>
  </si>
  <si>
    <t>Q4转化率提升5%</t>
  </si>
  <si>
    <t>Ai推荐寄存点功能
阶段一：完成AI在对话页的稳定应用
阶段二：在首页新增AI入口
阶段三：在搜索目的地场景中融入AI辅助能力</t>
  </si>
  <si>
    <t>12.29发版（广东灰度）</t>
  </si>
  <si>
    <t>周期：2025.12.14 - 2025.12.20</t>
  </si>
  <si>
    <t>-2.95%</t>
  </si>
  <si>
    <t>-6.71%</t>
  </si>
  <si>
    <t>-3.85%</t>
  </si>
  <si>
    <t>-5.10%</t>
  </si>
  <si>
    <t>-11.48%</t>
  </si>
  <si>
    <t>预计12月上线
先以广东进行灰度测试</t>
  </si>
  <si>
    <t>首页新增推荐寄存点</t>
  </si>
  <si>
    <t>11.20已上线</t>
  </si>
  <si>
    <t>约10%的用户会通过该功能直接进入对应网点下单页</t>
  </si>
  <si>
    <t>大学生认证发放专属券</t>
  </si>
  <si>
    <t>11.13已上线</t>
  </si>
  <si>
    <t>领取后到下单的转化率为10.4%</t>
  </si>
  <si>
    <t>UI待优化调整</t>
  </si>
  <si>
    <t>地图页优化</t>
  </si>
  <si>
    <t>11.27已上线</t>
  </si>
  <si>
    <t>下一步动作</t>
  </si>
  <si>
    <t>转化率提升</t>
  </si>
  <si>
    <t>会去对投放场景做站点流量承接——地点口令，预定寄存。基于AI推荐寄存点来做</t>
  </si>
  <si>
    <t>策划中</t>
  </si>
  <si>
    <t>周期：2025.12.7 - 2025.12.13</t>
  </si>
  <si>
    <t>+6.12%</t>
  </si>
  <si>
    <t>+7.39%</t>
  </si>
  <si>
    <t>+1.18%</t>
  </si>
  <si>
    <t>+4.53%</t>
  </si>
  <si>
    <t>+12.31%</t>
  </si>
  <si>
    <t>预计12月上线</t>
  </si>
  <si>
    <t>业务诊断与盘点
明确转化率提升抓手</t>
  </si>
  <si>
    <t>业务盘点分析，与市场对齐结论，明确优化方向</t>
  </si>
  <si>
    <t>12.12已完成</t>
  </si>
  <si>
    <t>优化大学生专属优惠展示</t>
  </si>
  <si>
    <t>预计12.25上线</t>
  </si>
  <si>
    <t>以预定场景出发，承接推广流量</t>
  </si>
  <si>
    <t>本周内与推广测对齐并产出优化方案</t>
  </si>
  <si>
    <t>周期：2025.12.1 - 2025.12.7</t>
  </si>
  <si>
    <t>-13.69%</t>
  </si>
  <si>
    <t>开口流量变低</t>
  </si>
  <si>
    <t>+4.09%</t>
  </si>
  <si>
    <t>+20.62%</t>
  </si>
  <si>
    <t>较上周提高3.67%</t>
  </si>
  <si>
    <t>-5.72%</t>
  </si>
  <si>
    <t>-1.90%</t>
  </si>
  <si>
    <t>领取人数约481，与预估相差较远</t>
  </si>
  <si>
    <t>周期：2025.11.24 - 2025.11.30</t>
  </si>
  <si>
    <t>-4.42%</t>
  </si>
  <si>
    <t>秋季旅游旺季过去，天气变冷，目标人群寄存意愿减弱</t>
  </si>
  <si>
    <t>-8.83%</t>
  </si>
  <si>
    <t>-4.61%</t>
  </si>
  <si>
    <t>-0.83%</t>
  </si>
  <si>
    <t>-9.58%</t>
  </si>
  <si>
    <t>阶段一：本周梳理边界情况，确保功能符合应用场景</t>
  </si>
  <si>
    <t>挽留约25%首页流失用户</t>
  </si>
  <si>
    <t>来到首页的用户约有15-20%不会进入下一步，该功能上线后，首页流失降低至10-12%</t>
  </si>
  <si>
    <t>领取优惠券后到下单的转化率为9.91%</t>
  </si>
  <si>
    <t>领取人数较少，需要进一步分析用户群体，考虑是否需要调整展示</t>
  </si>
  <si>
    <t>数据待观察</t>
  </si>
  <si>
    <t>周期：2025.11.17 - 2025.11.23</t>
  </si>
  <si>
    <t>-11.84%</t>
  </si>
  <si>
    <t>上周末音乐节线下推广，数据均有增长，本周降回至常规水平</t>
  </si>
  <si>
    <t>-17.38%</t>
  </si>
  <si>
    <t>-6.28%</t>
  </si>
  <si>
    <t>+4.88%</t>
  </si>
  <si>
    <t>-13.31%</t>
  </si>
  <si>
    <t>预计11.27上线</t>
  </si>
  <si>
    <t>周期：2025.11.10 - 2025.11.16</t>
  </si>
  <si>
    <t>+11.47%</t>
  </si>
  <si>
    <t>受周末音乐节影响</t>
  </si>
  <si>
    <t>+19.19%</t>
  </si>
  <si>
    <t>+7.51%</t>
  </si>
  <si>
    <t>提升1.39%</t>
  </si>
  <si>
    <t>-4.04%</t>
  </si>
  <si>
    <t>+14.34%</t>
  </si>
  <si>
    <t>预计11.20上线</t>
  </si>
  <si>
    <t>待观察</t>
  </si>
  <si>
    <t>周期：2025.11.3 - 2025.11.9</t>
  </si>
  <si>
    <t>上海、北京下雨，可能产生一定影响</t>
  </si>
  <si>
    <t>下降 1.39 个百分点</t>
  </si>
  <si>
    <t>+1.63%</t>
  </si>
  <si>
    <t>+0.25</t>
  </si>
  <si>
    <t>阶段一：进入技术调研,预计11.14完成</t>
  </si>
  <si>
    <t>预计11.13上线</t>
  </si>
  <si>
    <t>方案中，预计11.27上线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</si>
</sst>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name val="Microsoft YaHei"/>
    </font>
    <font>
      <sz val="11"/>
      <color rgb="FF272727"/>
      <name val="Microsoft YaHei"/>
    </font>
    <font>
      <sz val="11"/>
      <color rgb="FFFE0300"/>
      <name val="Microsoft YaHei"/>
    </font>
    <font>
      <sz val="11"/>
      <color rgb="FF00B14D"/>
      <name val="Microsoft YaHei"/>
    </font>
    <font>
      <sz val="11"/>
      <color rgb="FFC10002"/>
      <name val="Microsoft YaHei"/>
    </font>
    <font>
      <b/>
      <sz val="11"/>
      <color rgb="FF1F2937"/>
      <name val="Microsoft YaHei"/>
    </font>
    <font>
      <sz val="11"/>
      <color rgb="FF92D04F"/>
      <name val="Microsoft YaHei"/>
    </font>
    <font>
      <b/>
      <sz val="18"/>
      <color rgb="FF1F2937"/>
      <name val="Microsoft YaHei"/>
    </font>
    <font>
      <sz val="11"/>
      <color rgb="FF1F2937"/>
      <name val="Microsoft YaHei"/>
    </font>
    <font>
      <sz val="11"/>
      <color rgb="FF6B7280"/>
      <name val="Microsoft YaHei"/>
    </font>
    <font>
      <b/>
      <sz val="12"/>
      <color rgb="FF1F2937"/>
      <name val="Microsoft YaHei"/>
    </font>
    <font>
      <sz val="12"/>
      <name val="Microsoft YaHei"/>
    </font>
    <font>
      <sz val="11"/>
      <color rgb="FF272727"/>
      <name val="Microsoft YaHei"/>
    </font>
    <font>
      <sz val="11"/>
      <color rgb="FF272727"/>
      <name val="Microsoft YaHei"/>
    </font>
    <font>
      <sz val="11"/>
      <color rgb="FF272727"/>
      <name val="Microsoft YaHei"/>
    </font>
    <font>
      <sz val="11"/>
      <color rgb="FF272727"/>
      <name val="Microsoft YaHei"/>
    </font>
    <font>
      <sz val="11"/>
      <color rgb="FF272727"/>
      <name val="Microsoft YaHei"/>
    </font>
    <font>
      <sz val="11"/>
      <color rgb="FF272727"/>
      <name val="Microsoft YaHei"/>
    </font>
    <font>
      <sz val="11"/>
      <color rgb="FF272727"/>
      <name val="Microsoft YaHei"/>
    </font>
    <font>
      <sz val="11"/>
      <color rgb="FF272727"/>
      <name val="Microsoft YaHei"/>
    </font>
    <font>
      <sz val="11"/>
      <color rgb="FF272727"/>
      <name val="Microsoft YaHei"/>
    </font>
    <font>
      <sz val="11"/>
      <color rgb="FF272727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DF1E5"/>
      </patternFill>
    </fill>
    <fill>
      <patternFill patternType="solid">
        <fgColor rgb="FFFFF2E8"/>
      </patternFill>
    </fill>
  </fills>
  <borders count="37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/>
      <right style="thin">
        <color rgb="FF000000"/>
      </right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00000"/>
      </left>
      <right style="thin">
        <color rgb="FFD8D8D8"/>
      </right>
      <top style="thin">
        <color rgb="FFD8D8D8"/>
      </top>
      <bottom style="thin">
        <color rgb="FF000000"/>
      </bottom>
      <diagonal/>
    </border>
    <border>
      <left/>
      <right/>
      <top/>
      <bottom style="thin">
        <color rgb="FFE5E7EB"/>
      </bottom>
      <diagonal/>
    </border>
    <border>
      <left style="thin">
        <color rgb="FF000000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E5E7EB"/>
      </right>
      <top/>
      <bottom/>
      <diagonal/>
    </border>
    <border>
      <left/>
      <right style="thin">
        <color rgb="FFE5E7EB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00000"/>
      </left>
      <right style="thin">
        <color rgb="FFE5E7EB"/>
      </right>
      <top/>
      <bottom style="thin">
        <color rgb="FFE5E7EB"/>
      </bottom>
      <diagonal/>
    </border>
    <border>
      <left style="thin">
        <color rgb="FF000000"/>
      </left>
      <right style="thin">
        <color rgb="FFE5E7EB"/>
      </right>
      <top style="thin">
        <color rgb="FFE5E7EB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E5E7EB"/>
      </top>
      <bottom style="thin">
        <color rgb="FFE5E7EB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E5E7EB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horizontal="center" vertical="center"/>
    </xf>
    <xf numFmtId="3" fontId="5" fillId="0" borderId="0" xfId="0" applyNumberFormat="1" applyFont="1">
      <alignment horizontal="center" vertical="center"/>
    </xf>
    <xf numFmtId="3" fontId="5" fillId="0" borderId="0" xfId="0" applyNumberFormat="1" applyFont="1">
      <alignment horizontal="center" vertical="center"/>
    </xf>
    <xf numFmtId="10" fontId="6" fillId="0" borderId="1" xfId="0" applyNumberFormat="1" applyFont="1" applyBorder="1" applyProtection="1">
      <alignment horizontal="center" vertical="center"/>
    </xf>
    <xf numFmtId="10" fontId="7" fillId="2" borderId="1" xfId="0" quotePrefix="1" applyNumberFormat="1" applyFont="1" applyFill="1" applyBorder="1" applyProtection="1">
      <alignment horizontal="center" vertical="center"/>
    </xf>
    <xf numFmtId="0" fontId="6" fillId="0" borderId="2" xfId="0" applyFont="1" applyBorder="1" applyProtection="1">
      <alignment horizontal="left" vertical="top" wrapText="1"/>
    </xf>
    <xf numFmtId="10" fontId="8" fillId="2" borderId="3" xfId="0" quotePrefix="1" applyNumberFormat="1" applyFont="1" applyFill="1" applyBorder="1" applyProtection="1">
      <alignment horizontal="center" vertical="center"/>
    </xf>
    <xf numFmtId="0" fontId="5" fillId="0" borderId="0" xfId="0" applyFont="1">
      <alignment vertical="center"/>
    </xf>
    <xf numFmtId="0" fontId="5" fillId="0" borderId="0" xfId="0" applyFont="1">
      <alignment horizontal="center" vertical="center"/>
    </xf>
    <xf numFmtId="2" fontId="6" fillId="2" borderId="1" xfId="0" applyNumberFormat="1" applyFont="1" applyFill="1" applyBorder="1" applyProtection="1">
      <alignment horizontal="center" vertical="center"/>
    </xf>
    <xf numFmtId="0" fontId="5" fillId="0" borderId="4" xfId="0" applyFont="1" applyBorder="1" applyProtection="1">
      <alignment vertical="center"/>
    </xf>
    <xf numFmtId="10" fontId="5" fillId="0" borderId="0" xfId="0" applyNumberFormat="1" applyFont="1">
      <alignment horizontal="center" vertical="center"/>
    </xf>
    <xf numFmtId="0" fontId="6" fillId="0" borderId="2" xfId="0" applyFont="1" applyBorder="1" applyProtection="1">
      <alignment horizontal="left" vertical="center"/>
    </xf>
    <xf numFmtId="0" fontId="6" fillId="0" borderId="0" xfId="0" applyFont="1">
      <alignment horizontal="left" vertical="center"/>
    </xf>
    <xf numFmtId="0" fontId="5" fillId="0" borderId="5" xfId="0" applyFont="1" applyBorder="1" applyProtection="1">
      <alignment vertical="center"/>
    </xf>
    <xf numFmtId="3" fontId="6" fillId="0" borderId="6" xfId="0" applyNumberFormat="1" applyFont="1" applyBorder="1" applyProtection="1">
      <alignment horizontal="center" vertical="center"/>
    </xf>
    <xf numFmtId="0" fontId="6" fillId="2" borderId="2" xfId="0" quotePrefix="1" applyFont="1" applyFill="1" applyBorder="1" applyProtection="1">
      <alignment horizontal="center" vertical="center"/>
    </xf>
    <xf numFmtId="0" fontId="5" fillId="0" borderId="7" xfId="0" applyFont="1" applyBorder="1" applyProtection="1">
      <alignment horizontal="center" vertical="center"/>
    </xf>
    <xf numFmtId="10" fontId="8" fillId="2" borderId="1" xfId="0" quotePrefix="1" applyNumberFormat="1" applyFont="1" applyFill="1" applyBorder="1" applyProtection="1">
      <alignment horizontal="center" vertical="center"/>
    </xf>
    <xf numFmtId="10" fontId="7" fillId="2" borderId="3" xfId="0" quotePrefix="1" applyNumberFormat="1" applyFont="1" applyFill="1" applyBorder="1" applyProtection="1">
      <alignment horizontal="center" vertical="center"/>
    </xf>
    <xf numFmtId="0" fontId="5" fillId="0" borderId="8" xfId="0" applyFont="1" applyBorder="1" applyProtection="1">
      <alignment horizontal="center" vertical="center"/>
    </xf>
    <xf numFmtId="0" fontId="6" fillId="0" borderId="9" xfId="0" applyFont="1" applyBorder="1" applyProtection="1">
      <alignment horizontal="center" vertical="center"/>
    </xf>
    <xf numFmtId="0" fontId="6" fillId="3" borderId="2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6" fillId="2" borderId="1" xfId="0" applyFont="1" applyFill="1" applyBorder="1" applyProtection="1">
      <alignment horizontal="center" vertical="center"/>
    </xf>
    <xf numFmtId="0" fontId="4" fillId="0" borderId="9" xfId="0" applyFont="1" applyBorder="1" applyProtection="1">
      <alignment vertical="center"/>
    </xf>
    <xf numFmtId="0" fontId="6" fillId="0" borderId="1" xfId="0" applyFont="1" applyBorder="1" applyProtection="1">
      <alignment horizontal="center" vertical="center"/>
    </xf>
    <xf numFmtId="0" fontId="5" fillId="0" borderId="10" xfId="0" applyFont="1" applyBorder="1" applyProtection="1">
      <alignment vertical="center"/>
    </xf>
    <xf numFmtId="10" fontId="9" fillId="3" borderId="1" xfId="0" applyNumberFormat="1" applyFont="1" applyFill="1" applyBorder="1" applyProtection="1">
      <alignment horizontal="center" vertical="center"/>
    </xf>
    <xf numFmtId="10" fontId="9" fillId="2" borderId="1" xfId="0" applyNumberFormat="1" applyFont="1" applyFill="1" applyBorder="1" applyProtection="1">
      <alignment horizontal="center" vertical="center"/>
    </xf>
    <xf numFmtId="0" fontId="10" fillId="4" borderId="11" xfId="0" applyFont="1" applyFill="1" applyBorder="1" applyProtection="1">
      <alignment horizontal="center" vertical="center"/>
    </xf>
    <xf numFmtId="0" fontId="5" fillId="0" borderId="11" xfId="0" applyFont="1" applyBorder="1" applyProtection="1">
      <alignment vertical="center"/>
    </xf>
    <xf numFmtId="0" fontId="10" fillId="4" borderId="12" xfId="0" applyFont="1" applyFill="1" applyBorder="1" applyProtection="1">
      <alignment horizontal="center" vertical="center"/>
    </xf>
    <xf numFmtId="10" fontId="9" fillId="0" borderId="1" xfId="0" applyNumberFormat="1" applyFont="1" applyBorder="1" applyProtection="1">
      <alignment horizontal="center" vertical="center"/>
    </xf>
    <xf numFmtId="10" fontId="9" fillId="0" borderId="3" xfId="0" applyNumberFormat="1" applyFont="1" applyBorder="1" applyProtection="1">
      <alignment horizontal="center" vertical="center"/>
    </xf>
    <xf numFmtId="10" fontId="7" fillId="2" borderId="3" xfId="0" applyNumberFormat="1" applyFont="1" applyFill="1" applyBorder="1" applyProtection="1">
      <alignment horizontal="center" vertical="center"/>
    </xf>
    <xf numFmtId="0" fontId="6" fillId="0" borderId="13" xfId="0" applyFont="1" applyBorder="1" applyProtection="1">
      <alignment horizontal="center" vertical="center"/>
    </xf>
    <xf numFmtId="0" fontId="6" fillId="0" borderId="1" xfId="0" applyFont="1" applyBorder="1" applyProtection="1">
      <alignment horizontal="left" vertical="top"/>
    </xf>
    <xf numFmtId="3" fontId="5" fillId="0" borderId="5" xfId="0" applyNumberFormat="1" applyFont="1" applyBorder="1" applyProtection="1">
      <alignment vertical="center"/>
    </xf>
    <xf numFmtId="10" fontId="11" fillId="2" borderId="1" xfId="0" quotePrefix="1" applyNumberFormat="1" applyFont="1" applyFill="1" applyBorder="1" applyProtection="1">
      <alignment horizontal="center" vertical="center"/>
    </xf>
    <xf numFmtId="0" fontId="5" fillId="0" borderId="14" xfId="0" applyFont="1" applyBorder="1" applyProtection="1">
      <alignment vertical="center" wrapText="1"/>
    </xf>
    <xf numFmtId="0" fontId="6" fillId="0" borderId="15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6" fillId="0" borderId="9" xfId="0" applyFont="1" applyBorder="1" applyProtection="1">
      <alignment horizontal="left" vertical="center" wrapText="1"/>
    </xf>
    <xf numFmtId="0" fontId="5" fillId="0" borderId="9" xfId="0" applyFont="1" applyBorder="1" applyProtection="1">
      <alignment vertical="center" wrapText="1"/>
    </xf>
    <xf numFmtId="3" fontId="6" fillId="0" borderId="6" xfId="0" applyNumberFormat="1" applyFont="1" applyBorder="1" applyProtection="1">
      <alignment horizontal="center" vertical="center" wrapText="1"/>
    </xf>
    <xf numFmtId="0" fontId="6" fillId="0" borderId="16" xfId="0" applyFont="1" applyBorder="1" applyProtection="1">
      <alignment horizontal="center" vertical="center"/>
    </xf>
    <xf numFmtId="0" fontId="6" fillId="0" borderId="17" xfId="0" applyFont="1" applyBorder="1" applyProtection="1">
      <alignment horizontal="center" vertical="center"/>
    </xf>
    <xf numFmtId="10" fontId="7" fillId="2" borderId="17" xfId="0" quotePrefix="1" applyNumberFormat="1" applyFont="1" applyFill="1" applyBorder="1" applyProtection="1">
      <alignment horizontal="center" vertical="center"/>
    </xf>
    <xf numFmtId="3" fontId="6" fillId="0" borderId="18" xfId="0" applyNumberFormat="1" applyFont="1" applyBorder="1" applyProtection="1">
      <alignment horizontal="center" vertical="center"/>
    </xf>
    <xf numFmtId="0" fontId="4" fillId="0" borderId="19" xfId="0" applyFont="1" applyBorder="1" applyProtection="1">
      <alignment vertical="center"/>
    </xf>
    <xf numFmtId="0" fontId="5" fillId="0" borderId="4" xfId="0" applyFont="1" applyBorder="1" applyProtection="1">
      <alignment vertical="center" wrapText="1"/>
    </xf>
    <xf numFmtId="10" fontId="11" fillId="2" borderId="3" xfId="0" applyNumberFormat="1" applyFont="1" applyFill="1" applyBorder="1" applyProtection="1">
      <alignment horizontal="center" vertical="center"/>
    </xf>
    <xf numFmtId="0" fontId="5" fillId="0" borderId="19" xfId="0" applyFont="1" applyBorder="1" applyProtection="1">
      <alignment vertical="center"/>
    </xf>
    <xf numFmtId="0" fontId="4" fillId="0" borderId="20" xfId="0" applyFont="1" applyBorder="1" applyProtection="1">
      <alignment vertical="center"/>
    </xf>
    <xf numFmtId="0" fontId="4" fillId="0" borderId="21" xfId="0" applyFont="1" applyBorder="1" applyProtection="1">
      <alignment vertical="center"/>
    </xf>
    <xf numFmtId="0" fontId="4" fillId="0" borderId="22" xfId="0" applyFont="1" applyBorder="1" applyProtection="1">
      <alignment vertical="center"/>
    </xf>
    <xf numFmtId="0" fontId="4" fillId="0" borderId="23" xfId="0" applyFont="1" applyBorder="1" applyProtection="1">
      <alignment vertical="center"/>
    </xf>
    <xf numFmtId="10" fontId="6" fillId="0" borderId="9" xfId="0" applyNumberFormat="1" applyFont="1" applyBorder="1" applyProtection="1">
      <alignment horizontal="center" vertical="center"/>
    </xf>
    <xf numFmtId="0" fontId="5" fillId="0" borderId="24" xfId="0" applyFont="1" applyBorder="1" applyProtection="1">
      <alignment vertical="center" wrapText="1"/>
    </xf>
    <xf numFmtId="0" fontId="4" fillId="0" borderId="5" xfId="0" applyFont="1" applyBorder="1" applyProtection="1">
      <alignment vertical="center" wrapText="1"/>
    </xf>
    <xf numFmtId="0" fontId="6" fillId="0" borderId="14" xfId="0" applyFont="1" applyBorder="1" applyProtection="1">
      <alignment horizontal="left" vertical="center" wrapText="1"/>
    </xf>
    <xf numFmtId="0" fontId="5" fillId="0" borderId="14" xfId="0" applyFont="1" applyBorder="1" applyProtection="1">
      <alignment vertical="center"/>
    </xf>
    <xf numFmtId="0" fontId="6" fillId="0" borderId="14" xfId="0" applyFont="1" applyBorder="1" applyProtection="1">
      <alignment horizontal="left" vertical="center"/>
    </xf>
    <xf numFmtId="0" fontId="5" fillId="0" borderId="7" xfId="0" applyFont="1" applyBorder="1" applyProtection="1">
      <alignment vertical="center"/>
    </xf>
    <xf numFmtId="0" fontId="6" fillId="0" borderId="9" xfId="0" applyFont="1" applyBorder="1" applyProtection="1">
      <alignment horizontal="left" vertical="center"/>
    </xf>
    <xf numFmtId="0" fontId="5" fillId="0" borderId="9" xfId="0" applyFont="1" applyBorder="1" applyProtection="1">
      <alignment vertical="center"/>
    </xf>
    <xf numFmtId="0" fontId="6" fillId="0" borderId="3" xfId="0" applyFont="1" applyBorder="1" applyProtection="1">
      <alignment horizontal="center" vertical="center"/>
    </xf>
    <xf numFmtId="0" fontId="6" fillId="0" borderId="3" xfId="0" applyFont="1" applyBorder="1" applyProtection="1">
      <alignment horizontal="left" vertical="top"/>
    </xf>
    <xf numFmtId="0" fontId="12" fillId="5" borderId="25" xfId="0" applyFont="1" applyFill="1" applyBorder="1" applyProtection="1">
      <alignment horizontal="center" vertical="center"/>
    </xf>
    <xf numFmtId="0" fontId="10" fillId="4" borderId="26" xfId="0" applyFont="1" applyFill="1" applyBorder="1" applyProtection="1">
      <alignment horizontal="center" vertical="center"/>
    </xf>
    <xf numFmtId="0" fontId="13" fillId="3" borderId="27" xfId="0" applyFont="1" applyFill="1" applyBorder="1" applyProtection="1">
      <alignment horizontal="center" vertical="center"/>
    </xf>
    <xf numFmtId="0" fontId="13" fillId="2" borderId="27" xfId="0" applyFont="1" applyFill="1" applyBorder="1" applyProtection="1">
      <alignment horizontal="center" vertical="center"/>
    </xf>
    <xf numFmtId="0" fontId="13" fillId="0" borderId="27" xfId="0" applyFont="1" applyBorder="1" applyProtection="1">
      <alignment horizontal="center" vertical="center"/>
    </xf>
    <xf numFmtId="0" fontId="6" fillId="2" borderId="27" xfId="0" applyFont="1" applyFill="1" applyBorder="1" applyProtection="1">
      <alignment horizontal="center" vertical="center"/>
    </xf>
    <xf numFmtId="0" fontId="10" fillId="4" borderId="28" xfId="0" applyFont="1" applyFill="1" applyBorder="1" applyProtection="1">
      <alignment horizontal="center" vertical="center"/>
    </xf>
    <xf numFmtId="0" fontId="6" fillId="0" borderId="15" xfId="0" applyFont="1" applyBorder="1" applyProtection="1">
      <alignment horizontal="center" vertical="center"/>
    </xf>
    <xf numFmtId="0" fontId="5" fillId="0" borderId="15" xfId="0" applyFont="1" applyBorder="1" applyProtection="1">
      <alignment vertical="center"/>
    </xf>
    <xf numFmtId="0" fontId="5" fillId="0" borderId="13" xfId="0" applyFont="1" applyBorder="1" applyProtection="1">
      <alignment vertical="center"/>
    </xf>
    <xf numFmtId="0" fontId="5" fillId="0" borderId="29" xfId="0" applyFont="1" applyBorder="1" applyProtection="1">
      <alignment vertical="center"/>
    </xf>
    <xf numFmtId="0" fontId="10" fillId="4" borderId="30" xfId="0" applyFont="1" applyFill="1" applyBorder="1" applyProtection="1">
      <alignment horizontal="center" vertical="center"/>
    </xf>
    <xf numFmtId="0" fontId="6" fillId="3" borderId="2" xfId="0" applyFont="1" applyFill="1" applyBorder="1" applyProtection="1">
      <alignment horizontal="center" vertical="center"/>
    </xf>
    <xf numFmtId="0" fontId="6" fillId="2" borderId="2" xfId="0" applyFont="1" applyFill="1" applyBorder="1" applyProtection="1">
      <alignment horizontal="center" vertical="center"/>
    </xf>
    <xf numFmtId="0" fontId="6" fillId="0" borderId="2" xfId="0" applyFont="1" applyBorder="1" applyProtection="1">
      <alignment horizontal="center" vertical="center"/>
    </xf>
    <xf numFmtId="0" fontId="6" fillId="0" borderId="2" xfId="0" applyFont="1" applyBorder="1" applyProtection="1">
      <alignment horizontal="left" vertical="top"/>
    </xf>
    <xf numFmtId="0" fontId="6" fillId="0" borderId="6" xfId="0" applyFont="1" applyBorder="1" applyProtection="1">
      <alignment horizontal="left" vertical="top"/>
    </xf>
    <xf numFmtId="0" fontId="12" fillId="0" borderId="31" xfId="0" applyFont="1" applyBorder="1" applyProtection="1">
      <alignment horizontal="left" vertical="center"/>
    </xf>
    <xf numFmtId="0" fontId="14" fillId="0" borderId="32" xfId="0" applyFont="1" applyBorder="1" applyProtection="1">
      <alignment horizontal="center" vertical="center"/>
    </xf>
    <xf numFmtId="0" fontId="5" fillId="0" borderId="32" xfId="0" applyFont="1" applyBorder="1" applyProtection="1">
      <alignment horizontal="center" vertical="center"/>
    </xf>
    <xf numFmtId="0" fontId="5" fillId="0" borderId="33" xfId="0" applyFont="1" applyBorder="1" applyProtection="1">
      <alignment vertical="center"/>
    </xf>
    <xf numFmtId="0" fontId="15" fillId="5" borderId="25" xfId="0" applyFont="1" applyFill="1" applyBorder="1" applyProtection="1">
      <alignment horizontal="center" vertical="center"/>
    </xf>
    <xf numFmtId="0" fontId="16" fillId="0" borderId="7" xfId="0" applyFont="1" applyBorder="1" applyProtection="1">
      <alignment vertical="center"/>
    </xf>
    <xf numFmtId="0" fontId="16" fillId="0" borderId="29" xfId="0" applyFont="1" applyBorder="1" applyProtection="1">
      <alignment vertical="center"/>
    </xf>
    <xf numFmtId="0" fontId="6" fillId="0" borderId="34" xfId="0" applyFont="1" applyBorder="1" applyProtection="1">
      <alignment horizontal="center" vertical="center"/>
    </xf>
    <xf numFmtId="0" fontId="5" fillId="0" borderId="35" xfId="0" applyFont="1" applyBorder="1" applyProtection="1">
      <alignment vertical="center"/>
    </xf>
    <xf numFmtId="0" fontId="5" fillId="0" borderId="8" xfId="0" applyFont="1" applyBorder="1" applyProtection="1">
      <alignment vertical="center"/>
    </xf>
    <xf numFmtId="0" fontId="5" fillId="0" borderId="36" xfId="0" applyFont="1" applyBorder="1" applyProtection="1">
      <alignment vertical="center"/>
    </xf>
    <xf numFmtId="0" fontId="16" fillId="0" borderId="7" xfId="0" applyFont="1" applyBorder="1" applyProtection="1">
      <alignment horizontal="center" vertical="center"/>
    </xf>
    <xf numFmtId="0" fontId="16" fillId="0" borderId="29" xfId="0" applyFont="1" applyBorder="1" applyProtection="1">
      <alignment horizontal="center" vertical="center"/>
    </xf>
    <xf numFmtId="0" fontId="17" fillId="0" borderId="14" xfId="0" applyFont="1" applyBorder="1" applyProtection="1">
      <alignment horizontal="left" vertical="center" wrapText="1"/>
    </xf>
    <xf numFmtId="0" fontId="18" fillId="0" borderId="14" xfId="0" applyFont="1" applyBorder="1" applyProtection="1">
      <alignment horizontal="left" vertical="center" wrapText="1"/>
    </xf>
    <xf numFmtId="0" fontId="19" fillId="0" borderId="1" xfId="0" applyFont="1" applyBorder="1" applyProtection="1">
      <alignment horizontal="center" vertical="center" wrapText="1"/>
    </xf>
    <xf numFmtId="0" fontId="20" fillId="0" borderId="14" xfId="0" applyFont="1" applyBorder="1" applyProtection="1">
      <alignment horizontal="left" vertical="center" wrapText="1"/>
    </xf>
    <xf numFmtId="0" fontId="21" fillId="0" borderId="0" xfId="0" applyFont="1">
      <alignment horizontal="left" vertical="center" wrapText="1"/>
    </xf>
    <xf numFmtId="0" fontId="22" fillId="0" borderId="14" xfId="0" applyFont="1" applyBorder="1" applyProtection="1">
      <alignment horizontal="left" vertical="center" wrapText="1"/>
    </xf>
    <xf numFmtId="0" fontId="23" fillId="0" borderId="14" xfId="0" applyFont="1" applyBorder="1" applyProtection="1">
      <alignment horizontal="left" vertical="center" wrapText="1"/>
    </xf>
    <xf numFmtId="0" fontId="24" fillId="0" borderId="14" xfId="0" applyFont="1" applyBorder="1" applyProtection="1">
      <alignment horizontal="left" vertical="center" wrapText="1"/>
    </xf>
    <xf numFmtId="0" fontId="25" fillId="0" borderId="14" xfId="0" applyFont="1" applyBorder="1" applyProtection="1">
      <alignment horizontal="left" vertical="center" wrapText="1"/>
    </xf>
    <xf numFmtId="0" fontId="26" fillId="0" borderId="14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7" Type="http://schemas.openxmlformats.org/officeDocument/2006/relationships/theme" Target="theme/theme1.xml"/><Relationship Id="rId7" Type="http://schemas.openxmlformats.org/officeDocument/2006/relationships/worksheet" Target="worksheets/sheet7.xml"/><Relationship Id="rId15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4" Type="http://schemas.openxmlformats.org/officeDocument/2006/relationships/worksheet" Target="worksheets/sheet14.xml"/><Relationship Id="rId16" Type="http://schemas.openxmlformats.org/officeDocument/2006/relationships/styles" Target="styles.xml"/><Relationship Id="rId13" Type="http://schemas.openxmlformats.org/officeDocument/2006/relationships/worksheet" Target="worksheets/sheet13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38100</xdr:colOff>
      <xdr:row>4</xdr:row>
      <xdr:rowOff>161925</xdr:rowOff>
    </xdr:from>
    <xdr:ext cx="4495800" cy="3952875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7.02734375" customWidth="1"/>
    <col min="2" max="2" width="22.3740234375" customWidth="1"/>
    <col min="3" max="3" width="24.6796875" customWidth="1"/>
    <col min="4" max="4" width="32.736328125" customWidth="1" style="14"/>
    <col min="5" max="5" width="30.3603515625"/>
    <col min="6" max="6" width="34.388671875" customWidth="1"/>
  </cols>
  <sheetData>
    <row r="1" ht="26.25" customHeight="1">
      <c r="A1" s="76" t="s">
        <v>0</v>
      </c>
      <c r="B1" s="71"/>
      <c r="C1" s="71"/>
      <c r="D1" s="23"/>
      <c r="E1" s="71"/>
      <c r="F1" s="86"/>
      <c r="G1" s="2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ht="17.25" customHeight="1">
      <c r="A2" s="93"/>
      <c r="B2" s="94" t="s">
        <v>1</v>
      </c>
      <c r="C2" s="95"/>
      <c r="D2" s="94" t="s">
        <v>2</v>
      </c>
      <c r="E2" s="95"/>
      <c r="F2" s="96"/>
      <c r="G2" s="2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ht="27.75" customHeight="1">
      <c r="A3" s="97" t="s">
        <v>3</v>
      </c>
      <c r="B3" s="98"/>
      <c r="C3" s="98"/>
      <c r="D3" s="104"/>
      <c r="E3" s="98"/>
      <c r="F3" s="99"/>
      <c r="G3" s="60" t="s">
        <v>4</v>
      </c>
      <c r="H3" s="57"/>
      <c r="I3" s="57"/>
      <c r="J3" s="57"/>
      <c r="K3" s="57"/>
      <c r="L3" s="62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ht="27.75" customHeight="1">
      <c r="A4" s="77" t="s">
        <v>5</v>
      </c>
      <c r="B4" s="39" t="s">
        <v>6</v>
      </c>
      <c r="C4" s="39" t="s">
        <v>7</v>
      </c>
      <c r="D4" s="39" t="s">
        <v>8</v>
      </c>
      <c r="E4" s="39" t="s">
        <v>9</v>
      </c>
      <c r="F4" s="87" t="s">
        <v>10</v>
      </c>
      <c r="G4" s="5"/>
      <c r="H4" s="5"/>
      <c r="I4" s="5"/>
      <c r="J4" s="5"/>
      <c r="K4" s="5"/>
      <c r="L4" s="61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ht="27.75" customHeight="1">
      <c r="A5" s="78" t="s">
        <v>11</v>
      </c>
      <c r="B5" s="7" t="n">
        <v>72385</v>
      </c>
      <c r="C5" s="6"/>
      <c r="D5" s="6"/>
      <c r="E5" s="59"/>
      <c r="F5" s="28"/>
      <c r="G5" s="5"/>
      <c r="H5" s="5"/>
      <c r="I5" s="5"/>
      <c r="J5" s="5"/>
      <c r="K5" s="5"/>
      <c r="L5" s="61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27.75" customHeight="1">
      <c r="A6" s="79" t="s">
        <v>12</v>
      </c>
      <c r="B6" s="31" t="n">
        <v>7359</v>
      </c>
      <c r="C6" s="31" t="n">
        <v>7583</v>
      </c>
      <c r="D6" s="31" t="n">
        <f>SUM(B6,C6)</f>
        <v>14942</v>
      </c>
      <c r="E6" s="46"/>
      <c r="F6" s="89"/>
      <c r="G6" s="5"/>
      <c r="H6" s="5"/>
      <c r="I6" s="5"/>
      <c r="J6" s="5"/>
      <c r="K6" s="5"/>
      <c r="L6" s="61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ht="27.75" customHeight="1">
      <c r="A7" s="80" t="s">
        <v>13</v>
      </c>
      <c r="B7" s="9" t="s">
        <v>14</v>
      </c>
      <c r="C7" s="9" t="s">
        <v>14</v>
      </c>
      <c r="D7" s="17" t="n">
        <f>D6/B5*100%</f>
        <v>0.206423982869379</v>
      </c>
      <c r="E7" s="46"/>
      <c r="F7" s="90"/>
      <c r="G7" s="5"/>
      <c r="H7" s="5"/>
      <c r="I7" s="5"/>
      <c r="J7" s="5"/>
      <c r="K7" s="5"/>
      <c r="L7" s="61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ht="27.75" customHeight="1">
      <c r="A8" s="81" t="s">
        <v>15</v>
      </c>
      <c r="B8" s="15" t="n">
        <f>B9/B6</f>
        <v>17.0396793042533</v>
      </c>
      <c r="C8" s="15" t="n">
        <f>C9/C6</f>
        <v>16.528682579454</v>
      </c>
      <c r="D8" s="15" t="n">
        <f>D9/D6</f>
        <v>16.7803506893321</v>
      </c>
      <c r="E8" s="46"/>
      <c r="F8" s="22"/>
      <c r="G8" s="5"/>
      <c r="H8" s="5"/>
      <c r="I8" s="5"/>
      <c r="J8" s="5"/>
      <c r="K8" s="5"/>
      <c r="L8" s="61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ht="27.75" customHeight="1">
      <c r="A9" s="53" t="s">
        <v>16</v>
      </c>
      <c r="B9" s="54" t="n">
        <v>125395</v>
      </c>
      <c r="C9" s="54" t="n">
        <v>125337</v>
      </c>
      <c r="D9" s="54" t="n">
        <f>SUM(B9,C9)</f>
        <v>250732</v>
      </c>
      <c r="E9" s="46"/>
      <c r="F9" s="56"/>
      <c r="G9" s="5"/>
      <c r="H9" s="5"/>
      <c r="I9" s="5"/>
      <c r="J9" s="5"/>
      <c r="K9" s="5"/>
      <c r="L9" s="61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ht="27.75" customHeight="1">
      <c r="A10" s="27" t="s">
        <v>17</v>
      </c>
      <c r="B10" s="65" t="n">
        <v>0.2822</v>
      </c>
      <c r="C10" s="27"/>
      <c r="D10" s="27"/>
      <c r="E10" s="42"/>
      <c r="F10" s="52"/>
      <c r="G10" s="5"/>
      <c r="H10" s="5"/>
      <c r="I10" s="5"/>
      <c r="J10" s="5"/>
      <c r="K10" s="5"/>
      <c r="L10" s="61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27.75" customHeight="1">
      <c r="A11" s="101"/>
      <c r="B11" s="102"/>
      <c r="C11" s="102"/>
      <c r="D11" s="26"/>
      <c r="E11" s="102"/>
      <c r="F11" s="103"/>
      <c r="G11" s="5"/>
      <c r="H11" s="5"/>
      <c r="I11" s="5"/>
      <c r="J11" s="5"/>
      <c r="K11" s="5"/>
      <c r="L11" s="61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ht="27.75" customHeight="1">
      <c r="A12" s="97" t="s">
        <v>18</v>
      </c>
      <c r="B12" s="104"/>
      <c r="C12" s="104"/>
      <c r="D12" s="104"/>
      <c r="E12" s="104"/>
      <c r="F12" s="105"/>
      <c r="G12" s="5"/>
      <c r="H12" s="5"/>
      <c r="I12" s="5"/>
      <c r="J12" s="5"/>
      <c r="K12" s="5"/>
      <c r="L12" s="61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ht="27.75" customHeight="1">
      <c r="A13" s="82" t="s">
        <v>19</v>
      </c>
      <c r="B13" s="37" t="s">
        <v>20</v>
      </c>
      <c r="C13" s="38"/>
      <c r="D13" s="39" t="s">
        <v>21</v>
      </c>
      <c r="E13" s="39" t="s">
        <v>22</v>
      </c>
      <c r="F13" s="87" t="s">
        <v>10</v>
      </c>
      <c r="G13" s="5"/>
      <c r="H13" s="5"/>
      <c r="I13" s="5"/>
      <c r="J13" s="5"/>
      <c r="K13" s="5"/>
      <c r="L13" s="61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61.916666666666664" customHeight="1">
      <c r="A14" s="48" t="s">
        <v>23</v>
      </c>
      <c r="B14" s="68" t="s">
        <v>24</v>
      </c>
      <c r="C14" s="47"/>
      <c r="D14" s="29" t="s">
        <v>25</v>
      </c>
      <c r="E14" s="44"/>
      <c r="F14" s="18"/>
      <c r="G14" s="5"/>
      <c r="H14" s="5"/>
      <c r="I14" s="5"/>
      <c r="J14" s="5"/>
      <c r="K14" s="5"/>
      <c r="L14" s="61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ht="27.75" customHeight="1">
      <c r="A15" s="48" t="s">
        <v>26</v>
      </c>
      <c r="B15" s="68" t="s">
        <v>27</v>
      </c>
      <c r="C15" s="47"/>
      <c r="D15" s="33" t="s">
        <v>14</v>
      </c>
      <c r="E15" s="5"/>
      <c r="F15" s="11" t="s">
        <v>28</v>
      </c>
      <c r="G15" s="5"/>
      <c r="H15" s="5"/>
      <c r="I15" s="5"/>
      <c r="J15" s="5"/>
      <c r="K15" s="5"/>
      <c r="L15" s="61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ht="27.75" customHeight="1">
      <c r="A16" s="43" t="s">
        <v>29</v>
      </c>
      <c r="B16" s="50" t="s">
        <v>30</v>
      </c>
      <c r="C16" s="51"/>
      <c r="D16" s="74"/>
      <c r="E16" s="75"/>
      <c r="F16" s="92"/>
      <c r="G16" s="5"/>
      <c r="H16" s="5"/>
      <c r="I16" s="5"/>
      <c r="J16" s="5"/>
      <c r="K16" s="5"/>
      <c r="L16" s="61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ht="18" customHeight="1">
      <c r="A17" s="97" t="s">
        <v>31</v>
      </c>
      <c r="B17" s="104"/>
      <c r="C17" s="104"/>
      <c r="D17" s="104"/>
      <c r="E17" s="104"/>
      <c r="F17" s="105"/>
      <c r="G17" s="5"/>
      <c r="H17" s="5"/>
      <c r="I17" s="5"/>
      <c r="J17" s="5"/>
      <c r="K17" s="5"/>
      <c r="L17" s="61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ht="16.5" customHeight="1">
      <c r="A18" s="82" t="s">
        <v>19</v>
      </c>
      <c r="B18" s="37" t="s">
        <v>20</v>
      </c>
      <c r="C18" s="38"/>
      <c r="D18" s="39" t="s">
        <v>21</v>
      </c>
      <c r="E18" s="39" t="s">
        <v>22</v>
      </c>
      <c r="F18" s="87" t="s">
        <v>10</v>
      </c>
      <c r="G18" s="63"/>
      <c r="H18" s="63"/>
      <c r="I18" s="63"/>
      <c r="J18" s="63"/>
      <c r="K18" s="63"/>
      <c r="L18" s="64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ht="27.75" customHeight="1">
      <c r="A19" s="16" t="s">
        <v>32</v>
      </c>
      <c r="B19" s="66" t="s">
        <v>33</v>
      </c>
      <c r="C19" s="67"/>
      <c r="D19" s="49" t="s">
        <v>34</v>
      </c>
      <c r="E19" s="16" t="s">
        <v>35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ht="16.5" customHeight="1">
      <c r="A20" s="16"/>
      <c r="B20" s="16"/>
      <c r="C20" s="16"/>
      <c r="D20" s="49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ht="16.5" customHeight="1">
      <c r="A21" s="16"/>
      <c r="B21" s="16"/>
      <c r="C21" s="16"/>
      <c r="D21" s="5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ht="16.5" customHeight="1">
      <c r="A22" s="16"/>
      <c r="B22" s="58"/>
      <c r="C22" s="16"/>
      <c r="D22" s="49"/>
      <c r="E22" s="49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ht="16.5" customHeight="1">
      <c r="A23" s="16"/>
      <c r="B23" s="16"/>
      <c r="C23" s="16"/>
      <c r="D23" s="4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ht="16.5" customHeight="1">
      <c r="A24" s="16"/>
      <c r="B24" s="16"/>
      <c r="C24" s="16"/>
      <c r="D24" s="4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ht="16.5" customHeight="1">
      <c r="A25" s="16"/>
      <c r="B25" s="16"/>
      <c r="C25" s="16"/>
      <c r="D25" s="4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ht="16.5" customHeight="1">
      <c r="A26" s="16"/>
      <c r="B26" s="16"/>
      <c r="C26" s="16"/>
      <c r="D26" s="4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ht="16.5" customHeight="1">
      <c r="A27" s="16"/>
      <c r="B27" s="16"/>
      <c r="C27" s="16"/>
      <c r="D27" s="4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ht="16.5" customHeight="1">
      <c r="A28" s="16"/>
      <c r="B28" s="16"/>
      <c r="C28" s="16"/>
      <c r="D28" s="4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ht="16.5" customHeight="1">
      <c r="A29" s="16"/>
      <c r="B29" s="16"/>
      <c r="C29" s="16"/>
      <c r="D29" s="4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ht="16.5" customHeight="1">
      <c r="A30" s="16"/>
      <c r="B30" s="16"/>
      <c r="C30" s="16"/>
      <c r="D30" s="4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ht="16.5" customHeight="1">
      <c r="A31" s="16"/>
      <c r="B31" s="16"/>
      <c r="C31" s="16"/>
      <c r="D31" s="4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ht="16.5" customHeight="1">
      <c r="A32" s="16"/>
      <c r="B32" s="16"/>
      <c r="C32" s="16"/>
      <c r="D32" s="4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ht="16.5" customHeight="1">
      <c r="A33" s="16"/>
      <c r="B33" s="16"/>
      <c r="C33" s="16"/>
      <c r="D33" s="4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ht="16.5" customHeight="1">
      <c r="A34" s="16"/>
      <c r="B34" s="16"/>
      <c r="C34" s="16"/>
      <c r="D34" s="4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ht="16.5" customHeight="1">
      <c r="A35" s="16"/>
      <c r="B35" s="16"/>
      <c r="C35" s="16"/>
      <c r="D35" s="4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ht="16.5" customHeight="1">
      <c r="A36" s="16"/>
      <c r="B36" s="16"/>
      <c r="C36" s="16"/>
      <c r="D36" s="4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ht="16.5" customHeight="1">
      <c r="A37" s="16"/>
      <c r="B37" s="16"/>
      <c r="C37" s="16"/>
      <c r="D37" s="4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ht="16.5" customHeight="1">
      <c r="A38" s="16"/>
      <c r="B38" s="16"/>
      <c r="C38" s="16"/>
      <c r="D38" s="4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ht="16.5" customHeight="1">
      <c r="A39" s="16"/>
      <c r="B39" s="16"/>
      <c r="C39" s="16"/>
      <c r="D39" s="4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ht="16.5" customHeight="1">
      <c r="A40" s="16"/>
      <c r="B40" s="16"/>
      <c r="C40" s="16"/>
      <c r="D40" s="4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ht="16.5" customHeight="1">
      <c r="A41" s="16"/>
      <c r="B41" s="16"/>
      <c r="C41" s="16"/>
      <c r="D41" s="4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ht="16.5" customHeight="1">
      <c r="A42" s="16"/>
      <c r="B42" s="16"/>
      <c r="C42" s="16"/>
      <c r="D42" s="4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ht="16.5" customHeight="1">
      <c r="A43" s="16"/>
      <c r="B43" s="16"/>
      <c r="C43" s="16"/>
      <c r="D43" s="4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ht="16.5" customHeight="1">
      <c r="A44" s="16"/>
      <c r="B44" s="16"/>
      <c r="C44" s="16"/>
      <c r="D44" s="4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ht="16.5" customHeight="1">
      <c r="A45" s="16"/>
      <c r="B45" s="16"/>
      <c r="C45" s="16"/>
      <c r="D45" s="4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ht="16.5" customHeight="1">
      <c r="A46" s="16"/>
      <c r="B46" s="16"/>
      <c r="C46" s="16"/>
      <c r="D46" s="4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ht="16.5" customHeight="1">
      <c r="A47" s="16"/>
      <c r="B47" s="16"/>
      <c r="C47" s="16"/>
      <c r="D47" s="4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ht="16.5" customHeight="1">
      <c r="A48" s="16"/>
      <c r="B48" s="16"/>
      <c r="C48" s="16"/>
      <c r="D48" s="4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ht="16.5" customHeight="1">
      <c r="A49" s="16"/>
      <c r="B49" s="16"/>
      <c r="C49" s="16"/>
      <c r="D49" s="4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ht="16.5" customHeight="1">
      <c r="A50" s="16"/>
      <c r="B50" s="16"/>
      <c r="C50" s="16"/>
      <c r="D50" s="4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ht="16.5" customHeight="1">
      <c r="A51" s="16"/>
      <c r="B51" s="16"/>
      <c r="C51" s="16"/>
      <c r="D51" s="4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ht="16.5" customHeight="1">
      <c r="A52" s="16"/>
      <c r="B52" s="16"/>
      <c r="C52" s="16"/>
      <c r="D52" s="4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ht="16.5" customHeight="1">
      <c r="A53" s="16"/>
      <c r="B53" s="16"/>
      <c r="C53" s="16"/>
      <c r="D53" s="4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ht="16.5" customHeight="1">
      <c r="A54" s="16"/>
      <c r="B54" s="16"/>
      <c r="C54" s="16"/>
      <c r="D54" s="4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ht="16.5" customHeight="1">
      <c r="A55" s="16"/>
      <c r="B55" s="16"/>
      <c r="C55" s="16"/>
      <c r="D55" s="4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ht="16.5" customHeight="1">
      <c r="A56" s="16"/>
      <c r="B56" s="16"/>
      <c r="C56" s="16"/>
      <c r="D56" s="4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ht="16.5" customHeight="1">
      <c r="A57" s="16"/>
      <c r="B57" s="16"/>
      <c r="C57" s="16"/>
      <c r="D57" s="4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ht="16.5" customHeight="1">
      <c r="A58" s="16"/>
      <c r="B58" s="16"/>
      <c r="C58" s="16"/>
      <c r="D58" s="4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ht="16.5" customHeight="1">
      <c r="A59" s="16"/>
      <c r="B59" s="16"/>
      <c r="C59" s="16"/>
      <c r="D59" s="4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ht="16.5" customHeight="1">
      <c r="A60" s="16"/>
      <c r="B60" s="16"/>
      <c r="C60" s="16"/>
      <c r="D60" s="4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ht="16.5" customHeight="1">
      <c r="A61" s="16"/>
      <c r="B61" s="16"/>
      <c r="C61" s="16"/>
      <c r="D61" s="4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ht="16.5" customHeight="1">
      <c r="A62" s="16"/>
      <c r="B62" s="16"/>
      <c r="C62" s="16"/>
      <c r="D62" s="4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ht="16.5" customHeight="1">
      <c r="A63" s="16"/>
      <c r="B63" s="16"/>
      <c r="C63" s="16"/>
      <c r="D63" s="4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ht="16.5" customHeight="1">
      <c r="A64" s="16"/>
      <c r="B64" s="16"/>
      <c r="C64" s="16"/>
      <c r="D64" s="4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ht="16.5" customHeight="1">
      <c r="A65" s="16"/>
      <c r="B65" s="16"/>
      <c r="C65" s="16"/>
      <c r="D65" s="4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ht="16.5" customHeight="1">
      <c r="A66" s="16"/>
      <c r="B66" s="16"/>
      <c r="C66" s="16"/>
      <c r="D66" s="4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ht="16.5" customHeight="1">
      <c r="A67" s="16"/>
      <c r="B67" s="16"/>
      <c r="C67" s="16"/>
      <c r="D67" s="4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ht="16.5" customHeight="1">
      <c r="A68" s="16"/>
      <c r="B68" s="16"/>
      <c r="C68" s="16"/>
      <c r="D68" s="4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ht="16.5" customHeight="1">
      <c r="A69" s="16"/>
      <c r="B69" s="16"/>
      <c r="C69" s="16"/>
      <c r="D69" s="4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ht="16.5" customHeight="1">
      <c r="A70" s="16"/>
      <c r="B70" s="16"/>
      <c r="C70" s="16"/>
      <c r="D70" s="4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ht="16.5" customHeight="1">
      <c r="A71" s="16"/>
      <c r="B71" s="16"/>
      <c r="C71" s="16"/>
      <c r="D71" s="4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ht="16.5" customHeight="1">
      <c r="A72" s="16"/>
      <c r="B72" s="16"/>
      <c r="C72" s="16"/>
      <c r="D72" s="4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ht="16.5" customHeight="1">
      <c r="A73" s="16"/>
      <c r="B73" s="16"/>
      <c r="C73" s="16"/>
      <c r="D73" s="4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ht="16.5" customHeight="1">
      <c r="A74" s="16"/>
      <c r="B74" s="16"/>
      <c r="C74" s="16"/>
      <c r="D74" s="4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ht="16.5" customHeight="1">
      <c r="A75" s="16"/>
      <c r="B75" s="16"/>
      <c r="C75" s="16"/>
      <c r="D75" s="4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ht="16.5" customHeight="1">
      <c r="A76" s="16"/>
      <c r="B76" s="16"/>
      <c r="C76" s="16"/>
      <c r="D76" s="4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ht="16.5" customHeight="1">
      <c r="A77" s="16"/>
      <c r="B77" s="16"/>
      <c r="C77" s="16"/>
      <c r="D77" s="4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ht="16.5" customHeight="1">
      <c r="A78" s="16"/>
      <c r="B78" s="16"/>
      <c r="C78" s="16"/>
      <c r="D78" s="4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ht="16.5" customHeight="1">
      <c r="A79" s="16"/>
      <c r="B79" s="16"/>
      <c r="C79" s="16"/>
      <c r="D79" s="4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ht="16.5" customHeight="1">
      <c r="A80" s="16"/>
      <c r="B80" s="16"/>
      <c r="C80" s="16"/>
      <c r="D80" s="4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ht="16.5" customHeight="1">
      <c r="A81" s="16"/>
      <c r="B81" s="16"/>
      <c r="C81" s="16"/>
      <c r="D81" s="4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ht="16.5" customHeight="1">
      <c r="A82" s="16"/>
      <c r="B82" s="16"/>
      <c r="C82" s="16"/>
      <c r="D82" s="4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ht="16.5" customHeight="1">
      <c r="A83" s="16"/>
      <c r="B83" s="16"/>
      <c r="C83" s="16"/>
      <c r="D83" s="4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ht="16.5" customHeight="1">
      <c r="A84" s="16"/>
      <c r="B84" s="16"/>
      <c r="C84" s="16"/>
      <c r="D84" s="4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ht="16.5" customHeight="1">
      <c r="A85" s="16"/>
      <c r="B85" s="16"/>
      <c r="C85" s="16"/>
      <c r="D85" s="4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ht="16.5" customHeight="1">
      <c r="A86" s="16"/>
      <c r="B86" s="16"/>
      <c r="C86" s="16"/>
      <c r="D86" s="4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ht="16.5" customHeight="1">
      <c r="A87" s="16"/>
      <c r="B87" s="16"/>
      <c r="C87" s="16"/>
      <c r="D87" s="4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ht="16.5" customHeight="1">
      <c r="A88" s="16"/>
      <c r="B88" s="16"/>
      <c r="C88" s="16"/>
      <c r="D88" s="4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ht="16.5" customHeight="1">
      <c r="A89" s="16"/>
      <c r="B89" s="16"/>
      <c r="C89" s="16"/>
      <c r="D89" s="4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ht="16.5" customHeight="1">
      <c r="A90" s="16"/>
      <c r="B90" s="16"/>
      <c r="C90" s="16"/>
      <c r="D90" s="4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ht="16.5" customHeight="1">
      <c r="A91" s="16"/>
      <c r="B91" s="16"/>
      <c r="C91" s="16"/>
      <c r="D91" s="4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ht="16.5" customHeight="1">
      <c r="A92" s="16"/>
      <c r="B92" s="16"/>
      <c r="C92" s="16"/>
      <c r="D92" s="4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ht="16.5" customHeight="1">
      <c r="A93" s="16"/>
      <c r="B93" s="16"/>
      <c r="C93" s="16"/>
      <c r="D93" s="4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ht="16.5" customHeight="1">
      <c r="A94" s="16"/>
      <c r="B94" s="16"/>
      <c r="C94" s="16"/>
      <c r="D94" s="4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ht="16.5" customHeight="1">
      <c r="A95" s="16"/>
      <c r="B95" s="16"/>
      <c r="C95" s="16"/>
      <c r="D95" s="4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ht="16.5" customHeight="1">
      <c r="A96" s="16"/>
      <c r="B96" s="16"/>
      <c r="C96" s="16"/>
      <c r="D96" s="4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ht="16.5" customHeight="1">
      <c r="A97" s="16"/>
      <c r="B97" s="16"/>
      <c r="C97" s="16"/>
      <c r="D97" s="4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ht="16.5" customHeight="1">
      <c r="A98" s="16"/>
      <c r="B98" s="16"/>
      <c r="C98" s="16"/>
      <c r="D98" s="4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ht="16.5" customHeight="1">
      <c r="A99" s="16"/>
      <c r="B99" s="16"/>
      <c r="C99" s="16"/>
      <c r="D99" s="4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ht="16.5" customHeight="1">
      <c r="A100" s="16"/>
      <c r="B100" s="16"/>
      <c r="C100" s="16"/>
      <c r="D100" s="4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ht="16.5" customHeight="1">
      <c r="A101" s="16"/>
      <c r="B101" s="16"/>
      <c r="C101" s="16"/>
      <c r="D101" s="4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ht="16.5" customHeight="1">
      <c r="A102" s="16"/>
      <c r="B102" s="16"/>
      <c r="C102" s="16"/>
      <c r="D102" s="4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ht="16.5" customHeight="1">
      <c r="A103" s="16"/>
      <c r="B103" s="16"/>
      <c r="C103" s="16"/>
      <c r="D103" s="4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ht="16.5" customHeight="1">
      <c r="A104" s="16"/>
      <c r="B104" s="16"/>
      <c r="C104" s="16"/>
      <c r="D104" s="4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ht="16.5" customHeight="1">
      <c r="A105" s="16"/>
      <c r="B105" s="16"/>
      <c r="C105" s="16"/>
      <c r="D105" s="4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ht="16.5" customHeight="1">
      <c r="A106" s="16"/>
      <c r="B106" s="16"/>
      <c r="C106" s="16"/>
      <c r="D106" s="4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ht="16.5" customHeight="1">
      <c r="A107" s="16"/>
      <c r="B107" s="16"/>
      <c r="C107" s="16"/>
      <c r="D107" s="4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ht="16.5" customHeight="1">
      <c r="A108" s="16"/>
      <c r="B108" s="16"/>
      <c r="C108" s="16"/>
      <c r="D108" s="4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ht="16.5" customHeight="1">
      <c r="A109" s="16"/>
      <c r="B109" s="16"/>
      <c r="C109" s="16"/>
      <c r="D109" s="4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ht="16.5" customHeight="1">
      <c r="A110" s="16"/>
      <c r="B110" s="16"/>
      <c r="C110" s="16"/>
      <c r="D110" s="4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ht="16.5" customHeight="1">
      <c r="A111" s="16"/>
      <c r="B111" s="16"/>
      <c r="C111" s="16"/>
      <c r="D111" s="4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ht="16.5" customHeight="1">
      <c r="A112" s="16"/>
      <c r="B112" s="16"/>
      <c r="C112" s="16"/>
      <c r="D112" s="4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ht="16.5" customHeight="1">
      <c r="A113" s="16"/>
      <c r="B113" s="16"/>
      <c r="C113" s="16"/>
      <c r="D113" s="4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ht="16.5" customHeight="1">
      <c r="A114" s="16"/>
      <c r="B114" s="16"/>
      <c r="C114" s="16"/>
      <c r="D114" s="4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ht="16.5" customHeight="1">
      <c r="A115" s="16"/>
      <c r="B115" s="16"/>
      <c r="C115" s="16"/>
      <c r="D115" s="4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ht="16.5" customHeight="1">
      <c r="A116" s="16"/>
      <c r="B116" s="16"/>
      <c r="C116" s="16"/>
      <c r="D116" s="4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ht="16.5" customHeight="1">
      <c r="A117" s="16"/>
      <c r="B117" s="16"/>
      <c r="C117" s="16"/>
      <c r="D117" s="4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ht="16.5" customHeight="1">
      <c r="A118" s="16"/>
      <c r="B118" s="16"/>
      <c r="C118" s="16"/>
      <c r="D118" s="4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ht="16.5" customHeight="1">
      <c r="A119" s="16"/>
      <c r="B119" s="16"/>
      <c r="C119" s="16"/>
      <c r="D119" s="4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ht="16.5" customHeight="1">
      <c r="A120" s="16"/>
      <c r="B120" s="16"/>
      <c r="C120" s="16"/>
      <c r="D120" s="4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ht="16.5" customHeight="1">
      <c r="A121" s="16"/>
      <c r="B121" s="16"/>
      <c r="C121" s="16"/>
      <c r="D121" s="4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ht="16.5" customHeight="1">
      <c r="A122" s="16"/>
      <c r="B122" s="16"/>
      <c r="C122" s="16"/>
      <c r="D122" s="4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ht="16.5" customHeight="1">
      <c r="A123" s="16"/>
      <c r="B123" s="16"/>
      <c r="C123" s="16"/>
      <c r="D123" s="4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ht="16.5" customHeight="1">
      <c r="A124" s="16"/>
      <c r="B124" s="16"/>
      <c r="C124" s="16"/>
      <c r="D124" s="4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ht="16.5" customHeight="1">
      <c r="A125" s="16"/>
      <c r="B125" s="16"/>
      <c r="C125" s="16"/>
      <c r="D125" s="4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ht="16.5" customHeight="1">
      <c r="A126" s="16"/>
      <c r="B126" s="16"/>
      <c r="C126" s="16"/>
      <c r="D126" s="4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ht="16.5" customHeight="1">
      <c r="A127" s="16"/>
      <c r="B127" s="16"/>
      <c r="C127" s="16"/>
      <c r="D127" s="4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ht="16.5" customHeight="1">
      <c r="A128" s="16"/>
      <c r="B128" s="16"/>
      <c r="C128" s="16"/>
      <c r="D128" s="4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ht="16.5" customHeight="1">
      <c r="A129" s="16"/>
      <c r="B129" s="16"/>
      <c r="C129" s="16"/>
      <c r="D129" s="4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ht="16.5" customHeight="1">
      <c r="A130" s="16"/>
      <c r="B130" s="16"/>
      <c r="C130" s="16"/>
      <c r="D130" s="4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ht="16.5" customHeight="1">
      <c r="A131" s="16"/>
      <c r="B131" s="16"/>
      <c r="C131" s="16"/>
      <c r="D131" s="4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ht="16.5" customHeight="1">
      <c r="A132" s="16"/>
      <c r="B132" s="16"/>
      <c r="C132" s="16"/>
      <c r="D132" s="4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ht="16.5" customHeight="1">
      <c r="A133" s="16"/>
      <c r="B133" s="16"/>
      <c r="C133" s="16"/>
      <c r="D133" s="4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ht="16.5" customHeight="1">
      <c r="A134" s="16"/>
      <c r="B134" s="16"/>
      <c r="C134" s="16"/>
      <c r="D134" s="4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ht="16.5" customHeight="1">
      <c r="A135" s="16"/>
      <c r="B135" s="16"/>
      <c r="C135" s="16"/>
      <c r="D135" s="4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ht="16.5" customHeight="1">
      <c r="A136" s="16"/>
      <c r="B136" s="16"/>
      <c r="C136" s="16"/>
      <c r="D136" s="4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ht="16.5" customHeight="1">
      <c r="A137" s="16"/>
      <c r="B137" s="16"/>
      <c r="C137" s="16"/>
      <c r="D137" s="4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ht="16.5" customHeight="1">
      <c r="A138" s="16"/>
      <c r="B138" s="16"/>
      <c r="C138" s="16"/>
      <c r="D138" s="4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ht="16.5" customHeight="1">
      <c r="A139" s="16"/>
      <c r="B139" s="16"/>
      <c r="C139" s="16"/>
      <c r="D139" s="4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ht="16.5" customHeight="1">
      <c r="A140" s="16"/>
      <c r="B140" s="16"/>
      <c r="C140" s="16"/>
      <c r="D140" s="4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ht="16.5" customHeight="1">
      <c r="A141" s="16"/>
      <c r="B141" s="16"/>
      <c r="C141" s="16"/>
      <c r="D141" s="4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ht="16.5" customHeight="1">
      <c r="A142" s="16"/>
      <c r="B142" s="16"/>
      <c r="C142" s="16"/>
      <c r="D142" s="4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ht="16.5" customHeight="1">
      <c r="A143" s="16"/>
      <c r="B143" s="16"/>
      <c r="C143" s="16"/>
      <c r="D143" s="4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ht="16.5" customHeight="1">
      <c r="A144" s="16"/>
      <c r="B144" s="16"/>
      <c r="C144" s="16"/>
      <c r="D144" s="4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ht="16.5" customHeight="1">
      <c r="A145" s="16"/>
      <c r="B145" s="16"/>
      <c r="C145" s="16"/>
      <c r="D145" s="4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ht="16.5" customHeight="1">
      <c r="A146" s="16"/>
      <c r="B146" s="16"/>
      <c r="C146" s="16"/>
      <c r="D146" s="4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ht="16.5" customHeight="1">
      <c r="A147" s="16"/>
      <c r="B147" s="16"/>
      <c r="C147" s="16"/>
      <c r="D147" s="4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ht="16.5" customHeight="1">
      <c r="A148" s="16"/>
      <c r="B148" s="16"/>
      <c r="C148" s="16"/>
      <c r="D148" s="4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ht="16.5" customHeight="1">
      <c r="A149" s="16"/>
      <c r="B149" s="16"/>
      <c r="C149" s="16"/>
      <c r="D149" s="4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ht="16.5" customHeight="1">
      <c r="A150" s="16"/>
      <c r="B150" s="16"/>
      <c r="C150" s="16"/>
      <c r="D150" s="4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ht="16.5" customHeight="1">
      <c r="A151" s="16"/>
      <c r="B151" s="16"/>
      <c r="C151" s="16"/>
      <c r="D151" s="4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ht="16.5" customHeight="1">
      <c r="A152" s="16"/>
      <c r="B152" s="16"/>
      <c r="C152" s="16"/>
      <c r="D152" s="4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ht="16.5" customHeight="1">
      <c r="A153" s="16"/>
      <c r="B153" s="16"/>
      <c r="C153" s="16"/>
      <c r="D153" s="4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ht="16.5" customHeight="1">
      <c r="A154" s="16"/>
      <c r="B154" s="16"/>
      <c r="C154" s="16"/>
      <c r="D154" s="4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ht="16.5" customHeight="1">
      <c r="A155" s="16"/>
      <c r="B155" s="16"/>
      <c r="C155" s="16"/>
      <c r="D155" s="4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ht="16.5" customHeight="1">
      <c r="A156" s="16"/>
      <c r="B156" s="16"/>
      <c r="C156" s="16"/>
      <c r="D156" s="4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ht="16.5" customHeight="1">
      <c r="A157" s="16"/>
      <c r="B157" s="16"/>
      <c r="C157" s="16"/>
      <c r="D157" s="4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ht="16.5" customHeight="1">
      <c r="A158" s="16"/>
      <c r="B158" s="16"/>
      <c r="C158" s="16"/>
      <c r="D158" s="4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ht="16.5" customHeight="1">
      <c r="A159" s="16"/>
      <c r="B159" s="16"/>
      <c r="C159" s="16"/>
      <c r="D159" s="4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ht="16.5" customHeight="1">
      <c r="A160" s="16"/>
      <c r="B160" s="16"/>
      <c r="C160" s="16"/>
      <c r="D160" s="4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ht="16.5" customHeight="1">
      <c r="A161" s="16"/>
      <c r="B161" s="16"/>
      <c r="C161" s="16"/>
      <c r="D161" s="4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ht="16.5" customHeight="1">
      <c r="A162" s="16"/>
      <c r="B162" s="16"/>
      <c r="C162" s="16"/>
      <c r="D162" s="4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ht="16.5" customHeight="1">
      <c r="A163" s="16"/>
      <c r="B163" s="16"/>
      <c r="C163" s="16"/>
      <c r="D163" s="4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ht="16.5" customHeight="1">
      <c r="A164" s="16"/>
      <c r="B164" s="16"/>
      <c r="C164" s="16"/>
      <c r="D164" s="4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ht="16.5" customHeight="1">
      <c r="A165" s="16"/>
      <c r="B165" s="16"/>
      <c r="C165" s="16"/>
      <c r="D165" s="4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ht="16.5" customHeight="1">
      <c r="A166" s="16"/>
      <c r="B166" s="16"/>
      <c r="C166" s="16"/>
      <c r="D166" s="4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ht="16.5" customHeight="1">
      <c r="A167" s="16"/>
      <c r="B167" s="16"/>
      <c r="C167" s="16"/>
      <c r="D167" s="4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ht="16.5" customHeight="1">
      <c r="A168" s="16"/>
      <c r="B168" s="16"/>
      <c r="C168" s="16"/>
      <c r="D168" s="4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ht="16.5" customHeight="1">
      <c r="A169" s="16"/>
      <c r="B169" s="16"/>
      <c r="C169" s="16"/>
      <c r="D169" s="4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ht="16.5" customHeight="1">
      <c r="A170" s="16"/>
      <c r="B170" s="16"/>
      <c r="C170" s="16"/>
      <c r="D170" s="4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ht="16.5" customHeight="1">
      <c r="A171" s="16"/>
      <c r="B171" s="16"/>
      <c r="C171" s="16"/>
      <c r="D171" s="4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ht="16.5" customHeight="1">
      <c r="A172" s="16"/>
      <c r="B172" s="16"/>
      <c r="C172" s="16"/>
      <c r="D172" s="4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ht="16.5" customHeight="1">
      <c r="A173" s="16"/>
      <c r="B173" s="16"/>
      <c r="C173" s="16"/>
      <c r="D173" s="4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ht="16.5" customHeight="1">
      <c r="A174" s="16"/>
      <c r="B174" s="16"/>
      <c r="C174" s="16"/>
      <c r="D174" s="4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ht="16.5" customHeight="1">
      <c r="A175" s="16"/>
      <c r="B175" s="16"/>
      <c r="C175" s="16"/>
      <c r="D175" s="4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ht="16.5" customHeight="1">
      <c r="A176" s="16"/>
      <c r="B176" s="16"/>
      <c r="C176" s="16"/>
      <c r="D176" s="4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ht="16.5" customHeight="1">
      <c r="A177" s="16"/>
      <c r="B177" s="16"/>
      <c r="C177" s="16"/>
      <c r="D177" s="4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ht="16.5" customHeight="1">
      <c r="A178" s="16"/>
      <c r="B178" s="16"/>
      <c r="C178" s="16"/>
      <c r="D178" s="4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ht="16.5" customHeight="1">
      <c r="A179" s="16"/>
      <c r="B179" s="16"/>
      <c r="C179" s="16"/>
      <c r="D179" s="4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ht="16.5" customHeight="1">
      <c r="A180" s="16"/>
      <c r="B180" s="16"/>
      <c r="C180" s="16"/>
      <c r="D180" s="4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ht="16.5" customHeight="1">
      <c r="A181" s="16"/>
      <c r="B181" s="16"/>
      <c r="C181" s="16"/>
      <c r="D181" s="4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ht="16.5" customHeight="1">
      <c r="A182" s="16"/>
      <c r="B182" s="16"/>
      <c r="C182" s="16"/>
      <c r="D182" s="4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ht="16.5" customHeight="1">
      <c r="A183" s="16"/>
      <c r="B183" s="16"/>
      <c r="C183" s="16"/>
      <c r="D183" s="4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ht="16.5" customHeight="1">
      <c r="A184" s="16"/>
      <c r="B184" s="16"/>
      <c r="C184" s="16"/>
      <c r="D184" s="4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ht="16.5" customHeight="1">
      <c r="A185" s="16"/>
      <c r="B185" s="16"/>
      <c r="C185" s="16"/>
      <c r="D185" s="4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ht="16.5" customHeight="1">
      <c r="A186" s="16"/>
      <c r="B186" s="16"/>
      <c r="C186" s="16"/>
      <c r="D186" s="4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ht="16.5" customHeight="1">
      <c r="A187" s="16"/>
      <c r="B187" s="16"/>
      <c r="C187" s="16"/>
      <c r="D187" s="4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ht="16.5" customHeight="1">
      <c r="A188" s="16"/>
      <c r="B188" s="16"/>
      <c r="C188" s="16"/>
      <c r="D188" s="4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ht="16.5" customHeight="1">
      <c r="A189" s="16"/>
      <c r="B189" s="16"/>
      <c r="C189" s="16"/>
      <c r="D189" s="4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ht="16.5" customHeight="1">
      <c r="A190" s="16"/>
      <c r="B190" s="16"/>
      <c r="C190" s="16"/>
      <c r="D190" s="4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ht="16.5" customHeight="1">
      <c r="A191" s="16"/>
      <c r="B191" s="16"/>
      <c r="C191" s="16"/>
      <c r="D191" s="4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ht="16.5" customHeight="1">
      <c r="A192" s="16"/>
      <c r="B192" s="16"/>
      <c r="C192" s="16"/>
      <c r="D192" s="4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ht="16.5" customHeight="1">
      <c r="A193" s="16"/>
      <c r="B193" s="16"/>
      <c r="C193" s="16"/>
      <c r="D193" s="4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</sheetData>
  <mergeCells count="14">
    <mergeCell ref="B19:C19"/>
    <mergeCell ref="A17:F17"/>
    <mergeCell ref="B13:C13"/>
    <mergeCell ref="B14:C14"/>
    <mergeCell ref="A3:F3"/>
    <mergeCell ref="B5:D5"/>
    <mergeCell ref="B18:C18"/>
    <mergeCell ref="A12:F12"/>
    <mergeCell ref="B2:C2"/>
    <mergeCell ref="A1:F1"/>
    <mergeCell ref="D2:E2"/>
    <mergeCell ref="B15:C15"/>
    <mergeCell ref="B16:C16"/>
    <mergeCell ref="G3:L18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7.02734375" customWidth="1"/>
    <col min="2" max="2" width="22.3740234375" customWidth="1"/>
    <col min="3" max="3" width="24.6796875" customWidth="1"/>
    <col min="4" max="4" width="32.736328125" customWidth="1" style="14"/>
    <col min="5" max="5" width="30.3603515625"/>
    <col min="6" max="6" width="34.388671875" customWidth="1"/>
  </cols>
  <sheetData>
    <row r="1" ht="26.25" customHeight="1">
      <c r="A1" s="76" t="s">
        <v>0</v>
      </c>
      <c r="B1" s="71"/>
      <c r="C1" s="71"/>
      <c r="D1" s="23"/>
      <c r="E1" s="71"/>
      <c r="F1" s="86"/>
      <c r="G1" s="2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ht="17.25" customHeight="1">
      <c r="A2" s="93"/>
      <c r="B2" s="94" t="s">
        <v>36</v>
      </c>
      <c r="C2" s="95"/>
      <c r="D2" s="94" t="s">
        <v>2</v>
      </c>
      <c r="E2" s="95"/>
      <c r="F2" s="96"/>
      <c r="G2" s="2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ht="27.75" customHeight="1">
      <c r="A3" s="97" t="s">
        <v>3</v>
      </c>
      <c r="B3" s="98"/>
      <c r="C3" s="98"/>
      <c r="D3" s="104"/>
      <c r="E3" s="98"/>
      <c r="F3" s="99"/>
      <c r="G3" s="20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ht="27.75" customHeight="1">
      <c r="A4" s="77" t="s">
        <v>5</v>
      </c>
      <c r="B4" s="39" t="s">
        <v>6</v>
      </c>
      <c r="C4" s="39" t="s">
        <v>7</v>
      </c>
      <c r="D4" s="39" t="s">
        <v>8</v>
      </c>
      <c r="E4" s="39" t="s">
        <v>9</v>
      </c>
      <c r="F4" s="87" t="s">
        <v>10</v>
      </c>
      <c r="G4" s="20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ht="27.75" customHeight="1">
      <c r="A5" s="78" t="s">
        <v>11</v>
      </c>
      <c r="B5" s="7" t="n">
        <v>50170</v>
      </c>
      <c r="C5" s="6"/>
      <c r="D5" s="6"/>
      <c r="E5" s="59" t="n">
        <v>-0.07</v>
      </c>
      <c r="F5" s="28"/>
      <c r="G5" s="45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27.75" customHeight="1">
      <c r="A6" s="79" t="s">
        <v>12</v>
      </c>
      <c r="B6" s="31" t="n">
        <v>5180</v>
      </c>
      <c r="C6" s="31" t="n">
        <v>4513</v>
      </c>
      <c r="D6" s="31" t="n">
        <f>SUM(B6,C6)</f>
        <v>9693</v>
      </c>
      <c r="E6" s="46" t="s">
        <v>37</v>
      </c>
      <c r="F6" s="89"/>
      <c r="G6" s="20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ht="27.75" customHeight="1">
      <c r="A7" s="80" t="s">
        <v>13</v>
      </c>
      <c r="B7" s="9" t="s">
        <v>14</v>
      </c>
      <c r="C7" s="9" t="s">
        <v>14</v>
      </c>
      <c r="D7" s="17" t="n">
        <f>D6/B5*100%</f>
        <v>0.193203109427945</v>
      </c>
      <c r="E7" s="46" t="s">
        <v>38</v>
      </c>
      <c r="F7" s="90"/>
      <c r="G7" s="2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ht="27.75" customHeight="1">
      <c r="A8" s="81" t="s">
        <v>15</v>
      </c>
      <c r="B8" s="15" t="n">
        <f>B9/B6</f>
        <v>16.9272200772201</v>
      </c>
      <c r="C8" s="15" t="n">
        <f>C9/C6</f>
        <v>17.1839131398183</v>
      </c>
      <c r="D8" s="15" t="n">
        <f>D9/D6</f>
        <v>17.0467347570412</v>
      </c>
      <c r="E8" s="46" t="s">
        <v>39</v>
      </c>
      <c r="F8" s="22"/>
      <c r="G8" s="2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ht="27.75" customHeight="1">
      <c r="A9" s="53" t="s">
        <v>16</v>
      </c>
      <c r="B9" s="54" t="n">
        <v>87683</v>
      </c>
      <c r="C9" s="54" t="n">
        <v>77551</v>
      </c>
      <c r="D9" s="54" t="n">
        <f>SUM(B9,C9)</f>
        <v>165234</v>
      </c>
      <c r="E9" s="46" t="s">
        <v>38</v>
      </c>
      <c r="F9" s="56"/>
      <c r="G9" s="2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ht="27.75" customHeight="1">
      <c r="A10" s="27" t="s">
        <v>17</v>
      </c>
      <c r="B10" s="65" t="n">
        <v>0.2573</v>
      </c>
      <c r="C10" s="27"/>
      <c r="D10" s="27"/>
      <c r="E10" s="42" t="n">
        <v>-0.02</v>
      </c>
      <c r="F10" s="52"/>
      <c r="G10" s="2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27.75" customHeight="1">
      <c r="A11" s="101"/>
      <c r="B11" s="102"/>
      <c r="C11" s="102"/>
      <c r="D11" s="26"/>
      <c r="E11" s="102"/>
      <c r="F11" s="103"/>
      <c r="G11" s="2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ht="27.75" customHeight="1">
      <c r="A12" s="97" t="s">
        <v>18</v>
      </c>
      <c r="B12" s="104"/>
      <c r="C12" s="104"/>
      <c r="D12" s="104"/>
      <c r="E12" s="104"/>
      <c r="F12" s="105"/>
      <c r="G12" s="20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ht="27.75" customHeight="1">
      <c r="A13" s="82" t="s">
        <v>19</v>
      </c>
      <c r="B13" s="37" t="s">
        <v>20</v>
      </c>
      <c r="C13" s="38"/>
      <c r="D13" s="39" t="s">
        <v>21</v>
      </c>
      <c r="E13" s="39" t="s">
        <v>22</v>
      </c>
      <c r="F13" s="87" t="s">
        <v>10</v>
      </c>
      <c r="G13" s="20"/>
      <c r="H13" s="20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61.916666666666664" customHeight="1">
      <c r="A14" s="48" t="s">
        <v>23</v>
      </c>
      <c r="B14" s="68" t="s">
        <v>24</v>
      </c>
      <c r="C14" s="47"/>
      <c r="D14" s="29" t="s">
        <v>40</v>
      </c>
      <c r="E14" s="44"/>
      <c r="F14" s="18"/>
      <c r="G14" s="20"/>
      <c r="H14" s="20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ht="41.25" customHeight="1">
      <c r="A15" s="48" t="s">
        <v>41</v>
      </c>
      <c r="B15" s="68" t="s">
        <v>42</v>
      </c>
      <c r="C15" s="47"/>
      <c r="D15" s="33" t="s">
        <v>43</v>
      </c>
      <c r="E15" s="29"/>
      <c r="F15" s="11" t="s">
        <v>44</v>
      </c>
      <c r="G15" s="20"/>
      <c r="H15" s="20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ht="54.75" customHeight="1">
      <c r="A16" s="48" t="s">
        <v>26</v>
      </c>
      <c r="B16" s="68" t="s">
        <v>45</v>
      </c>
      <c r="C16" s="47"/>
      <c r="D16" s="33" t="s">
        <v>46</v>
      </c>
      <c r="E16" s="5"/>
      <c r="F16" s="11" t="s">
        <v>47</v>
      </c>
      <c r="G16" s="20"/>
      <c r="H16" s="20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ht="27.75" customHeight="1">
      <c r="A17" s="43"/>
      <c r="B17" s="50"/>
      <c r="C17" s="51"/>
      <c r="D17" s="74"/>
      <c r="E17" s="75"/>
      <c r="F17" s="92"/>
      <c r="G17" s="20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ht="18" customHeight="1">
      <c r="A18" s="97" t="s">
        <v>31</v>
      </c>
      <c r="B18" s="104"/>
      <c r="C18" s="104"/>
      <c r="D18" s="104"/>
      <c r="E18" s="104"/>
      <c r="F18" s="10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ht="16.5" customHeight="1">
      <c r="A19" s="82" t="s">
        <v>19</v>
      </c>
      <c r="B19" s="37" t="s">
        <v>20</v>
      </c>
      <c r="C19" s="38"/>
      <c r="D19" s="39" t="s">
        <v>21</v>
      </c>
      <c r="E19" s="39" t="s">
        <v>22</v>
      </c>
      <c r="F19" s="87" t="s">
        <v>10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ht="27.75" customHeight="1">
      <c r="A20" s="16" t="s">
        <v>32</v>
      </c>
      <c r="B20" s="66" t="s">
        <v>33</v>
      </c>
      <c r="C20" s="67"/>
      <c r="D20" s="49" t="s">
        <v>48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ht="16.5" customHeight="1">
      <c r="A21" s="16" t="s">
        <v>49</v>
      </c>
      <c r="B21" s="16" t="s">
        <v>50</v>
      </c>
      <c r="C21" s="16"/>
      <c r="D21" s="49" t="s">
        <v>46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ht="16.5" customHeight="1">
      <c r="A22" s="16" t="s">
        <v>51</v>
      </c>
      <c r="B22" s="16" t="s">
        <v>52</v>
      </c>
      <c r="C22" s="16"/>
      <c r="D22" s="49" t="s">
        <v>46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ht="41.25" customHeight="1">
      <c r="A23" s="16" t="s">
        <v>53</v>
      </c>
      <c r="B23" s="58" t="s">
        <v>54</v>
      </c>
      <c r="C23" s="16"/>
      <c r="D23" s="49" t="s">
        <v>55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ht="16.5" customHeight="1">
      <c r="A24" s="16"/>
      <c r="B24" s="16"/>
      <c r="C24" s="16"/>
      <c r="D24" s="4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ht="16.5" customHeight="1">
      <c r="A25" s="16"/>
      <c r="B25" s="16"/>
      <c r="C25" s="16"/>
      <c r="D25" s="4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ht="16.5" customHeight="1">
      <c r="A26" s="16"/>
      <c r="B26" s="16"/>
      <c r="C26" s="16"/>
      <c r="D26" s="4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ht="16.5" customHeight="1">
      <c r="A27" s="16"/>
      <c r="B27" s="16"/>
      <c r="C27" s="16"/>
      <c r="D27" s="4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ht="16.5" customHeight="1">
      <c r="A28" s="16"/>
      <c r="B28" s="16"/>
      <c r="C28" s="16"/>
      <c r="D28" s="4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ht="16.5" customHeight="1">
      <c r="A29" s="16"/>
      <c r="B29" s="16"/>
      <c r="C29" s="16"/>
      <c r="D29" s="4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ht="16.5" customHeight="1">
      <c r="A30" s="16"/>
      <c r="B30" s="16"/>
      <c r="C30" s="16"/>
      <c r="D30" s="4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ht="16.5" customHeight="1">
      <c r="A31" s="16"/>
      <c r="B31" s="16"/>
      <c r="C31" s="16"/>
      <c r="D31" s="4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ht="16.5" customHeight="1">
      <c r="A32" s="16"/>
      <c r="B32" s="16"/>
      <c r="C32" s="16"/>
      <c r="D32" s="4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ht="16.5" customHeight="1">
      <c r="A33" s="16"/>
      <c r="B33" s="16"/>
      <c r="C33" s="16"/>
      <c r="D33" s="4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ht="16.5" customHeight="1">
      <c r="A34" s="16"/>
      <c r="B34" s="16"/>
      <c r="C34" s="16"/>
      <c r="D34" s="4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ht="16.5" customHeight="1">
      <c r="A35" s="16"/>
      <c r="B35" s="16"/>
      <c r="C35" s="16"/>
      <c r="D35" s="4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ht="16.5" customHeight="1">
      <c r="A36" s="16"/>
      <c r="B36" s="16"/>
      <c r="C36" s="16"/>
      <c r="D36" s="4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ht="16.5" customHeight="1">
      <c r="A37" s="16"/>
      <c r="B37" s="16"/>
      <c r="C37" s="16"/>
      <c r="D37" s="4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ht="16.5" customHeight="1">
      <c r="A38" s="16"/>
      <c r="B38" s="16"/>
      <c r="C38" s="16"/>
      <c r="D38" s="4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ht="16.5" customHeight="1">
      <c r="A39" s="16"/>
      <c r="B39" s="16"/>
      <c r="C39" s="16"/>
      <c r="D39" s="4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ht="16.5" customHeight="1">
      <c r="A40" s="16"/>
      <c r="B40" s="16"/>
      <c r="C40" s="16"/>
      <c r="D40" s="4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ht="16.5" customHeight="1">
      <c r="A41" s="16"/>
      <c r="B41" s="16"/>
      <c r="C41" s="16"/>
      <c r="D41" s="4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ht="16.5" customHeight="1">
      <c r="A42" s="16"/>
      <c r="B42" s="16"/>
      <c r="C42" s="16"/>
      <c r="D42" s="4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ht="16.5" customHeight="1">
      <c r="A43" s="16"/>
      <c r="B43" s="16"/>
      <c r="C43" s="16"/>
      <c r="D43" s="4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ht="16.5" customHeight="1">
      <c r="A44" s="16"/>
      <c r="B44" s="16"/>
      <c r="C44" s="16"/>
      <c r="D44" s="4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ht="16.5" customHeight="1">
      <c r="A45" s="16"/>
      <c r="B45" s="16"/>
      <c r="C45" s="16"/>
      <c r="D45" s="4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ht="16.5" customHeight="1">
      <c r="A46" s="16"/>
      <c r="B46" s="16"/>
      <c r="C46" s="16"/>
      <c r="D46" s="4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ht="16.5" customHeight="1">
      <c r="A47" s="16"/>
      <c r="B47" s="16"/>
      <c r="C47" s="16"/>
      <c r="D47" s="4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ht="16.5" customHeight="1">
      <c r="A48" s="16"/>
      <c r="B48" s="16"/>
      <c r="C48" s="16"/>
      <c r="D48" s="4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ht="16.5" customHeight="1">
      <c r="A49" s="16"/>
      <c r="B49" s="16"/>
      <c r="C49" s="16"/>
      <c r="D49" s="4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ht="16.5" customHeight="1">
      <c r="A50" s="16"/>
      <c r="B50" s="16"/>
      <c r="C50" s="16"/>
      <c r="D50" s="4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ht="16.5" customHeight="1">
      <c r="A51" s="16"/>
      <c r="B51" s="16"/>
      <c r="C51" s="16"/>
      <c r="D51" s="4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ht="16.5" customHeight="1">
      <c r="A52" s="16"/>
      <c r="B52" s="16"/>
      <c r="C52" s="16"/>
      <c r="D52" s="4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ht="16.5" customHeight="1">
      <c r="A53" s="16"/>
      <c r="B53" s="16"/>
      <c r="C53" s="16"/>
      <c r="D53" s="4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ht="16.5" customHeight="1">
      <c r="A54" s="16"/>
      <c r="B54" s="16"/>
      <c r="C54" s="16"/>
      <c r="D54" s="4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ht="16.5" customHeight="1">
      <c r="A55" s="16"/>
      <c r="B55" s="16"/>
      <c r="C55" s="16"/>
      <c r="D55" s="4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ht="16.5" customHeight="1">
      <c r="A56" s="16"/>
      <c r="B56" s="16"/>
      <c r="C56" s="16"/>
      <c r="D56" s="4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ht="16.5" customHeight="1">
      <c r="A57" s="16"/>
      <c r="B57" s="16"/>
      <c r="C57" s="16"/>
      <c r="D57" s="4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ht="16.5" customHeight="1">
      <c r="A58" s="16"/>
      <c r="B58" s="16"/>
      <c r="C58" s="16"/>
      <c r="D58" s="4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ht="16.5" customHeight="1">
      <c r="A59" s="16"/>
      <c r="B59" s="16"/>
      <c r="C59" s="16"/>
      <c r="D59" s="4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ht="16.5" customHeight="1">
      <c r="A60" s="16"/>
      <c r="B60" s="16"/>
      <c r="C60" s="16"/>
      <c r="D60" s="4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ht="16.5" customHeight="1">
      <c r="A61" s="16"/>
      <c r="B61" s="16"/>
      <c r="C61" s="16"/>
      <c r="D61" s="4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ht="16.5" customHeight="1">
      <c r="A62" s="16"/>
      <c r="B62" s="16"/>
      <c r="C62" s="16"/>
      <c r="D62" s="4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ht="16.5" customHeight="1">
      <c r="A63" s="16"/>
      <c r="B63" s="16"/>
      <c r="C63" s="16"/>
      <c r="D63" s="4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ht="16.5" customHeight="1">
      <c r="A64" s="16"/>
      <c r="B64" s="16"/>
      <c r="C64" s="16"/>
      <c r="D64" s="4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ht="16.5" customHeight="1">
      <c r="A65" s="16"/>
      <c r="B65" s="16"/>
      <c r="C65" s="16"/>
      <c r="D65" s="4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ht="16.5" customHeight="1">
      <c r="A66" s="16"/>
      <c r="B66" s="16"/>
      <c r="C66" s="16"/>
      <c r="D66" s="4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ht="16.5" customHeight="1">
      <c r="A67" s="16"/>
      <c r="B67" s="16"/>
      <c r="C67" s="16"/>
      <c r="D67" s="4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ht="16.5" customHeight="1">
      <c r="A68" s="16"/>
      <c r="B68" s="16"/>
      <c r="C68" s="16"/>
      <c r="D68" s="4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ht="16.5" customHeight="1">
      <c r="A69" s="16"/>
      <c r="B69" s="16"/>
      <c r="C69" s="16"/>
      <c r="D69" s="4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ht="16.5" customHeight="1">
      <c r="A70" s="16"/>
      <c r="B70" s="16"/>
      <c r="C70" s="16"/>
      <c r="D70" s="4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ht="16.5" customHeight="1">
      <c r="A71" s="16"/>
      <c r="B71" s="16"/>
      <c r="C71" s="16"/>
      <c r="D71" s="4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ht="16.5" customHeight="1">
      <c r="A72" s="16"/>
      <c r="B72" s="16"/>
      <c r="C72" s="16"/>
      <c r="D72" s="4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ht="16.5" customHeight="1">
      <c r="A73" s="16"/>
      <c r="B73" s="16"/>
      <c r="C73" s="16"/>
      <c r="D73" s="4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ht="16.5" customHeight="1">
      <c r="A74" s="16"/>
      <c r="B74" s="16"/>
      <c r="C74" s="16"/>
      <c r="D74" s="4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ht="16.5" customHeight="1">
      <c r="A75" s="16"/>
      <c r="B75" s="16"/>
      <c r="C75" s="16"/>
      <c r="D75" s="4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ht="16.5" customHeight="1">
      <c r="A76" s="16"/>
      <c r="B76" s="16"/>
      <c r="C76" s="16"/>
      <c r="D76" s="4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ht="16.5" customHeight="1">
      <c r="A77" s="16"/>
      <c r="B77" s="16"/>
      <c r="C77" s="16"/>
      <c r="D77" s="4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ht="16.5" customHeight="1">
      <c r="A78" s="16"/>
      <c r="B78" s="16"/>
      <c r="C78" s="16"/>
      <c r="D78" s="4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ht="16.5" customHeight="1">
      <c r="A79" s="16"/>
      <c r="B79" s="16"/>
      <c r="C79" s="16"/>
      <c r="D79" s="4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ht="16.5" customHeight="1">
      <c r="A80" s="16"/>
      <c r="B80" s="16"/>
      <c r="C80" s="16"/>
      <c r="D80" s="4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ht="16.5" customHeight="1">
      <c r="A81" s="16"/>
      <c r="B81" s="16"/>
      <c r="C81" s="16"/>
      <c r="D81" s="4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ht="16.5" customHeight="1">
      <c r="A82" s="16"/>
      <c r="B82" s="16"/>
      <c r="C82" s="16"/>
      <c r="D82" s="4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ht="16.5" customHeight="1">
      <c r="A83" s="16"/>
      <c r="B83" s="16"/>
      <c r="C83" s="16"/>
      <c r="D83" s="4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ht="16.5" customHeight="1">
      <c r="A84" s="16"/>
      <c r="B84" s="16"/>
      <c r="C84" s="16"/>
      <c r="D84" s="4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ht="16.5" customHeight="1">
      <c r="A85" s="16"/>
      <c r="B85" s="16"/>
      <c r="C85" s="16"/>
      <c r="D85" s="4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ht="16.5" customHeight="1">
      <c r="A86" s="16"/>
      <c r="B86" s="16"/>
      <c r="C86" s="16"/>
      <c r="D86" s="4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ht="16.5" customHeight="1">
      <c r="A87" s="16"/>
      <c r="B87" s="16"/>
      <c r="C87" s="16"/>
      <c r="D87" s="4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ht="16.5" customHeight="1">
      <c r="A88" s="16"/>
      <c r="B88" s="16"/>
      <c r="C88" s="16"/>
      <c r="D88" s="4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ht="16.5" customHeight="1">
      <c r="A89" s="16"/>
      <c r="B89" s="16"/>
      <c r="C89" s="16"/>
      <c r="D89" s="4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ht="16.5" customHeight="1">
      <c r="A90" s="16"/>
      <c r="B90" s="16"/>
      <c r="C90" s="16"/>
      <c r="D90" s="4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ht="16.5" customHeight="1">
      <c r="A91" s="16"/>
      <c r="B91" s="16"/>
      <c r="C91" s="16"/>
      <c r="D91" s="4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ht="16.5" customHeight="1">
      <c r="A92" s="16"/>
      <c r="B92" s="16"/>
      <c r="C92" s="16"/>
      <c r="D92" s="4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ht="16.5" customHeight="1">
      <c r="A93" s="16"/>
      <c r="B93" s="16"/>
      <c r="C93" s="16"/>
      <c r="D93" s="4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ht="16.5" customHeight="1">
      <c r="A94" s="16"/>
      <c r="B94" s="16"/>
      <c r="C94" s="16"/>
      <c r="D94" s="4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ht="16.5" customHeight="1">
      <c r="A95" s="16"/>
      <c r="B95" s="16"/>
      <c r="C95" s="16"/>
      <c r="D95" s="4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ht="16.5" customHeight="1">
      <c r="A96" s="16"/>
      <c r="B96" s="16"/>
      <c r="C96" s="16"/>
      <c r="D96" s="4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ht="16.5" customHeight="1">
      <c r="A97" s="16"/>
      <c r="B97" s="16"/>
      <c r="C97" s="16"/>
      <c r="D97" s="4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ht="16.5" customHeight="1">
      <c r="A98" s="16"/>
      <c r="B98" s="16"/>
      <c r="C98" s="16"/>
      <c r="D98" s="4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ht="16.5" customHeight="1">
      <c r="A99" s="16"/>
      <c r="B99" s="16"/>
      <c r="C99" s="16"/>
      <c r="D99" s="4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ht="16.5" customHeight="1">
      <c r="A100" s="16"/>
      <c r="B100" s="16"/>
      <c r="C100" s="16"/>
      <c r="D100" s="4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ht="16.5" customHeight="1">
      <c r="A101" s="16"/>
      <c r="B101" s="16"/>
      <c r="C101" s="16"/>
      <c r="D101" s="4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ht="16.5" customHeight="1">
      <c r="A102" s="16"/>
      <c r="B102" s="16"/>
      <c r="C102" s="16"/>
      <c r="D102" s="4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ht="16.5" customHeight="1">
      <c r="A103" s="16"/>
      <c r="B103" s="16"/>
      <c r="C103" s="16"/>
      <c r="D103" s="4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ht="16.5" customHeight="1">
      <c r="A104" s="16"/>
      <c r="B104" s="16"/>
      <c r="C104" s="16"/>
      <c r="D104" s="4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ht="16.5" customHeight="1">
      <c r="A105" s="16"/>
      <c r="B105" s="16"/>
      <c r="C105" s="16"/>
      <c r="D105" s="4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ht="16.5" customHeight="1">
      <c r="A106" s="16"/>
      <c r="B106" s="16"/>
      <c r="C106" s="16"/>
      <c r="D106" s="4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ht="16.5" customHeight="1">
      <c r="A107" s="16"/>
      <c r="B107" s="16"/>
      <c r="C107" s="16"/>
      <c r="D107" s="4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ht="16.5" customHeight="1">
      <c r="A108" s="16"/>
      <c r="B108" s="16"/>
      <c r="C108" s="16"/>
      <c r="D108" s="4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ht="16.5" customHeight="1">
      <c r="A109" s="16"/>
      <c r="B109" s="16"/>
      <c r="C109" s="16"/>
      <c r="D109" s="4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ht="16.5" customHeight="1">
      <c r="A110" s="16"/>
      <c r="B110" s="16"/>
      <c r="C110" s="16"/>
      <c r="D110" s="4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ht="16.5" customHeight="1">
      <c r="A111" s="16"/>
      <c r="B111" s="16"/>
      <c r="C111" s="16"/>
      <c r="D111" s="4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ht="16.5" customHeight="1">
      <c r="A112" s="16"/>
      <c r="B112" s="16"/>
      <c r="C112" s="16"/>
      <c r="D112" s="4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ht="16.5" customHeight="1">
      <c r="A113" s="16"/>
      <c r="B113" s="16"/>
      <c r="C113" s="16"/>
      <c r="D113" s="4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ht="16.5" customHeight="1">
      <c r="A114" s="16"/>
      <c r="B114" s="16"/>
      <c r="C114" s="16"/>
      <c r="D114" s="4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ht="16.5" customHeight="1">
      <c r="A115" s="16"/>
      <c r="B115" s="16"/>
      <c r="C115" s="16"/>
      <c r="D115" s="4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ht="16.5" customHeight="1">
      <c r="A116" s="16"/>
      <c r="B116" s="16"/>
      <c r="C116" s="16"/>
      <c r="D116" s="4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ht="16.5" customHeight="1">
      <c r="A117" s="16"/>
      <c r="B117" s="16"/>
      <c r="C117" s="16"/>
      <c r="D117" s="4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ht="16.5" customHeight="1">
      <c r="A118" s="16"/>
      <c r="B118" s="16"/>
      <c r="C118" s="16"/>
      <c r="D118" s="4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ht="16.5" customHeight="1">
      <c r="A119" s="16"/>
      <c r="B119" s="16"/>
      <c r="C119" s="16"/>
      <c r="D119" s="4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ht="16.5" customHeight="1">
      <c r="A120" s="16"/>
      <c r="B120" s="16"/>
      <c r="C120" s="16"/>
      <c r="D120" s="4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ht="16.5" customHeight="1">
      <c r="A121" s="16"/>
      <c r="B121" s="16"/>
      <c r="C121" s="16"/>
      <c r="D121" s="4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ht="16.5" customHeight="1">
      <c r="A122" s="16"/>
      <c r="B122" s="16"/>
      <c r="C122" s="16"/>
      <c r="D122" s="4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ht="16.5" customHeight="1">
      <c r="A123" s="16"/>
      <c r="B123" s="16"/>
      <c r="C123" s="16"/>
      <c r="D123" s="4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ht="16.5" customHeight="1">
      <c r="A124" s="16"/>
      <c r="B124" s="16"/>
      <c r="C124" s="16"/>
      <c r="D124" s="4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ht="16.5" customHeight="1">
      <c r="A125" s="16"/>
      <c r="B125" s="16"/>
      <c r="C125" s="16"/>
      <c r="D125" s="4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ht="16.5" customHeight="1">
      <c r="A126" s="16"/>
      <c r="B126" s="16"/>
      <c r="C126" s="16"/>
      <c r="D126" s="4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ht="16.5" customHeight="1">
      <c r="A127" s="16"/>
      <c r="B127" s="16"/>
      <c r="C127" s="16"/>
      <c r="D127" s="4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ht="16.5" customHeight="1">
      <c r="A128" s="16"/>
      <c r="B128" s="16"/>
      <c r="C128" s="16"/>
      <c r="D128" s="4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ht="16.5" customHeight="1">
      <c r="A129" s="16"/>
      <c r="B129" s="16"/>
      <c r="C129" s="16"/>
      <c r="D129" s="4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ht="16.5" customHeight="1">
      <c r="A130" s="16"/>
      <c r="B130" s="16"/>
      <c r="C130" s="16"/>
      <c r="D130" s="4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ht="16.5" customHeight="1">
      <c r="A131" s="16"/>
      <c r="B131" s="16"/>
      <c r="C131" s="16"/>
      <c r="D131" s="4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ht="16.5" customHeight="1">
      <c r="A132" s="16"/>
      <c r="B132" s="16"/>
      <c r="C132" s="16"/>
      <c r="D132" s="4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ht="16.5" customHeight="1">
      <c r="A133" s="16"/>
      <c r="B133" s="16"/>
      <c r="C133" s="16"/>
      <c r="D133" s="4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ht="16.5" customHeight="1">
      <c r="A134" s="16"/>
      <c r="B134" s="16"/>
      <c r="C134" s="16"/>
      <c r="D134" s="4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ht="16.5" customHeight="1">
      <c r="A135" s="16"/>
      <c r="B135" s="16"/>
      <c r="C135" s="16"/>
      <c r="D135" s="4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ht="16.5" customHeight="1">
      <c r="A136" s="16"/>
      <c r="B136" s="16"/>
      <c r="C136" s="16"/>
      <c r="D136" s="4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ht="16.5" customHeight="1">
      <c r="A137" s="16"/>
      <c r="B137" s="16"/>
      <c r="C137" s="16"/>
      <c r="D137" s="4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ht="16.5" customHeight="1">
      <c r="A138" s="16"/>
      <c r="B138" s="16"/>
      <c r="C138" s="16"/>
      <c r="D138" s="4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ht="16.5" customHeight="1">
      <c r="A139" s="16"/>
      <c r="B139" s="16"/>
      <c r="C139" s="16"/>
      <c r="D139" s="4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ht="16.5" customHeight="1">
      <c r="A140" s="16"/>
      <c r="B140" s="16"/>
      <c r="C140" s="16"/>
      <c r="D140" s="4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ht="16.5" customHeight="1">
      <c r="A141" s="16"/>
      <c r="B141" s="16"/>
      <c r="C141" s="16"/>
      <c r="D141" s="4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ht="16.5" customHeight="1">
      <c r="A142" s="16"/>
      <c r="B142" s="16"/>
      <c r="C142" s="16"/>
      <c r="D142" s="4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ht="16.5" customHeight="1">
      <c r="A143" s="16"/>
      <c r="B143" s="16"/>
      <c r="C143" s="16"/>
      <c r="D143" s="4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ht="16.5" customHeight="1">
      <c r="A144" s="16"/>
      <c r="B144" s="16"/>
      <c r="C144" s="16"/>
      <c r="D144" s="4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ht="16.5" customHeight="1">
      <c r="A145" s="16"/>
      <c r="B145" s="16"/>
      <c r="C145" s="16"/>
      <c r="D145" s="4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ht="16.5" customHeight="1">
      <c r="A146" s="16"/>
      <c r="B146" s="16"/>
      <c r="C146" s="16"/>
      <c r="D146" s="4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ht="16.5" customHeight="1">
      <c r="A147" s="16"/>
      <c r="B147" s="16"/>
      <c r="C147" s="16"/>
      <c r="D147" s="4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ht="16.5" customHeight="1">
      <c r="A148" s="16"/>
      <c r="B148" s="16"/>
      <c r="C148" s="16"/>
      <c r="D148" s="4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ht="16.5" customHeight="1">
      <c r="A149" s="16"/>
      <c r="B149" s="16"/>
      <c r="C149" s="16"/>
      <c r="D149" s="4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ht="16.5" customHeight="1">
      <c r="A150" s="16"/>
      <c r="B150" s="16"/>
      <c r="C150" s="16"/>
      <c r="D150" s="4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ht="16.5" customHeight="1">
      <c r="A151" s="16"/>
      <c r="B151" s="16"/>
      <c r="C151" s="16"/>
      <c r="D151" s="4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ht="16.5" customHeight="1">
      <c r="A152" s="16"/>
      <c r="B152" s="16"/>
      <c r="C152" s="16"/>
      <c r="D152" s="4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ht="16.5" customHeight="1">
      <c r="A153" s="16"/>
      <c r="B153" s="16"/>
      <c r="C153" s="16"/>
      <c r="D153" s="4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ht="16.5" customHeight="1">
      <c r="A154" s="16"/>
      <c r="B154" s="16"/>
      <c r="C154" s="16"/>
      <c r="D154" s="4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ht="16.5" customHeight="1">
      <c r="A155" s="16"/>
      <c r="B155" s="16"/>
      <c r="C155" s="16"/>
      <c r="D155" s="4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ht="16.5" customHeight="1">
      <c r="A156" s="16"/>
      <c r="B156" s="16"/>
      <c r="C156" s="16"/>
      <c r="D156" s="4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ht="16.5" customHeight="1">
      <c r="A157" s="16"/>
      <c r="B157" s="16"/>
      <c r="C157" s="16"/>
      <c r="D157" s="4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ht="16.5" customHeight="1">
      <c r="A158" s="16"/>
      <c r="B158" s="16"/>
      <c r="C158" s="16"/>
      <c r="D158" s="4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ht="16.5" customHeight="1">
      <c r="A159" s="16"/>
      <c r="B159" s="16"/>
      <c r="C159" s="16"/>
      <c r="D159" s="4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ht="16.5" customHeight="1">
      <c r="A160" s="16"/>
      <c r="B160" s="16"/>
      <c r="C160" s="16"/>
      <c r="D160" s="4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ht="16.5" customHeight="1">
      <c r="A161" s="16"/>
      <c r="B161" s="16"/>
      <c r="C161" s="16"/>
      <c r="D161" s="4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ht="16.5" customHeight="1">
      <c r="A162" s="16"/>
      <c r="B162" s="16"/>
      <c r="C162" s="16"/>
      <c r="D162" s="4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ht="16.5" customHeight="1">
      <c r="A163" s="16"/>
      <c r="B163" s="16"/>
      <c r="C163" s="16"/>
      <c r="D163" s="4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ht="16.5" customHeight="1">
      <c r="A164" s="16"/>
      <c r="B164" s="16"/>
      <c r="C164" s="16"/>
      <c r="D164" s="4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ht="16.5" customHeight="1">
      <c r="A165" s="16"/>
      <c r="B165" s="16"/>
      <c r="C165" s="16"/>
      <c r="D165" s="4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ht="16.5" customHeight="1">
      <c r="A166" s="16"/>
      <c r="B166" s="16"/>
      <c r="C166" s="16"/>
      <c r="D166" s="4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ht="16.5" customHeight="1">
      <c r="A167" s="16"/>
      <c r="B167" s="16"/>
      <c r="C167" s="16"/>
      <c r="D167" s="4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ht="16.5" customHeight="1">
      <c r="A168" s="16"/>
      <c r="B168" s="16"/>
      <c r="C168" s="16"/>
      <c r="D168" s="4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ht="16.5" customHeight="1">
      <c r="A169" s="16"/>
      <c r="B169" s="16"/>
      <c r="C169" s="16"/>
      <c r="D169" s="4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ht="16.5" customHeight="1">
      <c r="A170" s="16"/>
      <c r="B170" s="16"/>
      <c r="C170" s="16"/>
      <c r="D170" s="4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ht="16.5" customHeight="1">
      <c r="A171" s="16"/>
      <c r="B171" s="16"/>
      <c r="C171" s="16"/>
      <c r="D171" s="4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ht="16.5" customHeight="1">
      <c r="A172" s="16"/>
      <c r="B172" s="16"/>
      <c r="C172" s="16"/>
      <c r="D172" s="4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ht="16.5" customHeight="1">
      <c r="A173" s="16"/>
      <c r="B173" s="16"/>
      <c r="C173" s="16"/>
      <c r="D173" s="4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ht="16.5" customHeight="1">
      <c r="A174" s="16"/>
      <c r="B174" s="16"/>
      <c r="C174" s="16"/>
      <c r="D174" s="4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ht="16.5" customHeight="1">
      <c r="A175" s="16"/>
      <c r="B175" s="16"/>
      <c r="C175" s="16"/>
      <c r="D175" s="4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ht="16.5" customHeight="1">
      <c r="A176" s="16"/>
      <c r="B176" s="16"/>
      <c r="C176" s="16"/>
      <c r="D176" s="4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ht="16.5" customHeight="1">
      <c r="A177" s="16"/>
      <c r="B177" s="16"/>
      <c r="C177" s="16"/>
      <c r="D177" s="4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ht="16.5" customHeight="1">
      <c r="A178" s="16"/>
      <c r="B178" s="16"/>
      <c r="C178" s="16"/>
      <c r="D178" s="4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ht="16.5" customHeight="1">
      <c r="A179" s="16"/>
      <c r="B179" s="16"/>
      <c r="C179" s="16"/>
      <c r="D179" s="4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ht="16.5" customHeight="1">
      <c r="A180" s="16"/>
      <c r="B180" s="16"/>
      <c r="C180" s="16"/>
      <c r="D180" s="4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ht="16.5" customHeight="1">
      <c r="A181" s="16"/>
      <c r="B181" s="16"/>
      <c r="C181" s="16"/>
      <c r="D181" s="4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ht="16.5" customHeight="1">
      <c r="A182" s="16"/>
      <c r="B182" s="16"/>
      <c r="C182" s="16"/>
      <c r="D182" s="4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ht="16.5" customHeight="1">
      <c r="A183" s="16"/>
      <c r="B183" s="16"/>
      <c r="C183" s="16"/>
      <c r="D183" s="4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ht="16.5" customHeight="1">
      <c r="A184" s="16"/>
      <c r="B184" s="16"/>
      <c r="C184" s="16"/>
      <c r="D184" s="4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ht="16.5" customHeight="1">
      <c r="A185" s="16"/>
      <c r="B185" s="16"/>
      <c r="C185" s="16"/>
      <c r="D185" s="4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ht="16.5" customHeight="1">
      <c r="A186" s="16"/>
      <c r="B186" s="16"/>
      <c r="C186" s="16"/>
      <c r="D186" s="4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ht="16.5" customHeight="1">
      <c r="A187" s="16"/>
      <c r="B187" s="16"/>
      <c r="C187" s="16"/>
      <c r="D187" s="4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ht="16.5" customHeight="1">
      <c r="A188" s="16"/>
      <c r="B188" s="16"/>
      <c r="C188" s="16"/>
      <c r="D188" s="4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ht="16.5" customHeight="1">
      <c r="A189" s="16"/>
      <c r="B189" s="16"/>
      <c r="C189" s="16"/>
      <c r="D189" s="4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ht="16.5" customHeight="1">
      <c r="A190" s="16"/>
      <c r="B190" s="16"/>
      <c r="C190" s="16"/>
      <c r="D190" s="4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ht="16.5" customHeight="1">
      <c r="A191" s="16"/>
      <c r="B191" s="16"/>
      <c r="C191" s="16"/>
      <c r="D191" s="4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ht="16.5" customHeight="1">
      <c r="A192" s="16"/>
      <c r="B192" s="16"/>
      <c r="C192" s="16"/>
      <c r="D192" s="4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ht="16.5" customHeight="1">
      <c r="A193" s="16"/>
      <c r="B193" s="16"/>
      <c r="C193" s="16"/>
      <c r="D193" s="4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  <row r="194" ht="16.5" customHeight="1">
      <c r="A194" s="16"/>
      <c r="B194" s="16"/>
      <c r="C194" s="16"/>
      <c r="D194" s="4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</row>
  </sheetData>
  <mergeCells count="14">
    <mergeCell ref="B20:C20"/>
    <mergeCell ref="A18:F18"/>
    <mergeCell ref="B19:C19"/>
    <mergeCell ref="B15:C15"/>
    <mergeCell ref="A12:F12"/>
    <mergeCell ref="B2:C2"/>
    <mergeCell ref="A1:F1"/>
    <mergeCell ref="D2:E2"/>
    <mergeCell ref="B16:C16"/>
    <mergeCell ref="B17:C17"/>
    <mergeCell ref="B13:C13"/>
    <mergeCell ref="B14:C14"/>
    <mergeCell ref="A3:F3"/>
    <mergeCell ref="B5:D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7.02734375" customWidth="1"/>
    <col min="2" max="2" width="22.3740234375" customWidth="1"/>
    <col min="3" max="3" width="24.6796875" customWidth="1"/>
    <col min="4" max="4" width="32.736328125" customWidth="1" style="14"/>
    <col min="5" max="5" width="30.3603515625"/>
    <col min="6" max="6" width="34.388671875" customWidth="1"/>
  </cols>
  <sheetData>
    <row r="1" ht="26.25" customHeight="1">
      <c r="A1" s="76" t="s">
        <v>0</v>
      </c>
      <c r="B1" s="71"/>
      <c r="C1" s="71"/>
      <c r="D1" s="23"/>
      <c r="E1" s="71"/>
      <c r="F1" s="86"/>
      <c r="G1" s="2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ht="17.25" customHeight="1">
      <c r="A2" s="93"/>
      <c r="B2" s="94" t="s">
        <v>56</v>
      </c>
      <c r="C2" s="95"/>
      <c r="D2" s="94" t="s">
        <v>2</v>
      </c>
      <c r="E2" s="95"/>
      <c r="F2" s="96"/>
      <c r="G2" s="2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ht="27.75" customHeight="1">
      <c r="A3" s="97" t="s">
        <v>3</v>
      </c>
      <c r="B3" s="98"/>
      <c r="C3" s="98"/>
      <c r="D3" s="104"/>
      <c r="E3" s="98"/>
      <c r="F3" s="99"/>
      <c r="G3" s="20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ht="27.75" customHeight="1">
      <c r="A4" s="77" t="s">
        <v>5</v>
      </c>
      <c r="B4" s="39" t="s">
        <v>6</v>
      </c>
      <c r="C4" s="39" t="s">
        <v>7</v>
      </c>
      <c r="D4" s="39" t="s">
        <v>8</v>
      </c>
      <c r="E4" s="39" t="s">
        <v>9</v>
      </c>
      <c r="F4" s="87" t="s">
        <v>10</v>
      </c>
      <c r="G4" s="20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ht="27.75" customHeight="1">
      <c r="A5" s="78" t="s">
        <v>11</v>
      </c>
      <c r="B5" s="7" t="n">
        <v>489543</v>
      </c>
      <c r="C5" s="6"/>
      <c r="D5" s="6"/>
      <c r="E5" s="59" t="n">
        <v>-0.07</v>
      </c>
      <c r="F5" s="28"/>
      <c r="G5" s="45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27.75" customHeight="1">
      <c r="A6" s="79" t="s">
        <v>12</v>
      </c>
      <c r="B6" s="31" t="n">
        <v>54625</v>
      </c>
      <c r="C6" s="31" t="n">
        <v>54681</v>
      </c>
      <c r="D6" s="31" t="n">
        <f>SUM(B6,C6)</f>
        <v>109306</v>
      </c>
      <c r="E6" s="46" t="s">
        <v>37</v>
      </c>
      <c r="F6" s="89"/>
      <c r="G6" s="20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ht="27.75" customHeight="1">
      <c r="A7" s="80" t="s">
        <v>13</v>
      </c>
      <c r="B7" s="9" t="s">
        <v>14</v>
      </c>
      <c r="C7" s="9" t="s">
        <v>14</v>
      </c>
      <c r="D7" s="17" t="n">
        <f>D6/B5*100%</f>
        <v>0.22328171376161</v>
      </c>
      <c r="E7" s="46" t="s">
        <v>38</v>
      </c>
      <c r="F7" s="90"/>
      <c r="G7" s="2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ht="27.75" customHeight="1">
      <c r="A8" s="81" t="s">
        <v>15</v>
      </c>
      <c r="B8" s="15" t="n">
        <f>B9/B6</f>
        <v>16.6685400457666</v>
      </c>
      <c r="C8" s="15" t="n">
        <f>C9/C6</f>
        <v>15.475869131874</v>
      </c>
      <c r="D8" s="15" t="n">
        <f>D9/D6</f>
        <v>16.0718990723291</v>
      </c>
      <c r="E8" s="46" t="s">
        <v>39</v>
      </c>
      <c r="F8" s="22"/>
      <c r="G8" s="2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ht="27.75" customHeight="1">
      <c r="A9" s="53" t="s">
        <v>16</v>
      </c>
      <c r="B9" s="54" t="n">
        <v>910519</v>
      </c>
      <c r="C9" s="54" t="n">
        <v>846236</v>
      </c>
      <c r="D9" s="54" t="n">
        <f>SUM(B9,C9)</f>
        <v>1756755</v>
      </c>
      <c r="E9" s="46" t="s">
        <v>38</v>
      </c>
      <c r="F9" s="56"/>
      <c r="G9" s="2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ht="27.75" customHeight="1">
      <c r="A10" s="27" t="s">
        <v>17</v>
      </c>
      <c r="B10" s="65" t="n">
        <v>0.2846</v>
      </c>
      <c r="C10" s="27"/>
      <c r="D10" s="27"/>
      <c r="E10" s="42" t="n">
        <v>-0.02</v>
      </c>
      <c r="F10" s="52"/>
      <c r="G10" s="2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27.75" customHeight="1">
      <c r="A11" s="101"/>
      <c r="B11" s="102"/>
      <c r="C11" s="102"/>
      <c r="D11" s="26"/>
      <c r="E11" s="102"/>
      <c r="F11" s="103"/>
      <c r="G11" s="2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ht="27.75" customHeight="1">
      <c r="A12" s="97" t="s">
        <v>18</v>
      </c>
      <c r="B12" s="104"/>
      <c r="C12" s="104"/>
      <c r="D12" s="104"/>
      <c r="E12" s="104"/>
      <c r="F12" s="105"/>
      <c r="G12" s="20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ht="27.75" customHeight="1">
      <c r="A13" s="82" t="s">
        <v>19</v>
      </c>
      <c r="B13" s="37" t="s">
        <v>20</v>
      </c>
      <c r="C13" s="38"/>
      <c r="D13" s="39" t="s">
        <v>21</v>
      </c>
      <c r="E13" s="39" t="s">
        <v>22</v>
      </c>
      <c r="F13" s="87" t="s">
        <v>10</v>
      </c>
      <c r="G13" s="20"/>
      <c r="H13" s="20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61.916666666666664" customHeight="1">
      <c r="A14" s="48" t="s">
        <v>23</v>
      </c>
      <c r="B14" s="68" t="s">
        <v>24</v>
      </c>
      <c r="C14" s="47"/>
      <c r="D14" s="29" t="s">
        <v>40</v>
      </c>
      <c r="E14" s="44"/>
      <c r="F14" s="18"/>
      <c r="G14" s="20"/>
      <c r="H14" s="20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ht="41.25" customHeight="1">
      <c r="A15" s="48" t="s">
        <v>41</v>
      </c>
      <c r="B15" s="68" t="s">
        <v>42</v>
      </c>
      <c r="C15" s="47"/>
      <c r="D15" s="33" t="s">
        <v>43</v>
      </c>
      <c r="E15" s="29"/>
      <c r="F15" s="11" t="s">
        <v>44</v>
      </c>
      <c r="G15" s="20"/>
      <c r="H15" s="20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ht="54.75" customHeight="1">
      <c r="A16" s="48" t="s">
        <v>26</v>
      </c>
      <c r="B16" s="68" t="s">
        <v>45</v>
      </c>
      <c r="C16" s="47"/>
      <c r="D16" s="33" t="s">
        <v>46</v>
      </c>
      <c r="E16" s="5"/>
      <c r="F16" s="11" t="s">
        <v>47</v>
      </c>
      <c r="G16" s="20"/>
      <c r="H16" s="20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ht="27.75" customHeight="1">
      <c r="A17" s="43"/>
      <c r="B17" s="50"/>
      <c r="C17" s="51"/>
      <c r="D17" s="74"/>
      <c r="E17" s="75"/>
      <c r="F17" s="92"/>
      <c r="G17" s="20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ht="18" customHeight="1">
      <c r="A18" s="97" t="s">
        <v>31</v>
      </c>
      <c r="B18" s="104"/>
      <c r="C18" s="104"/>
      <c r="D18" s="104"/>
      <c r="E18" s="104"/>
      <c r="F18" s="10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ht="16.5" customHeight="1">
      <c r="A19" s="82" t="s">
        <v>19</v>
      </c>
      <c r="B19" s="37" t="s">
        <v>20</v>
      </c>
      <c r="C19" s="38"/>
      <c r="D19" s="39" t="s">
        <v>21</v>
      </c>
      <c r="E19" s="39" t="s">
        <v>22</v>
      </c>
      <c r="F19" s="87" t="s">
        <v>10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ht="27.75" customHeight="1">
      <c r="A20" s="16" t="s">
        <v>32</v>
      </c>
      <c r="B20" s="66" t="s">
        <v>33</v>
      </c>
      <c r="C20" s="67"/>
      <c r="D20" s="49" t="s">
        <v>48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ht="16.5" customHeight="1">
      <c r="A21" s="16" t="s">
        <v>49</v>
      </c>
      <c r="B21" s="16" t="s">
        <v>50</v>
      </c>
      <c r="C21" s="16"/>
      <c r="D21" s="49" t="s">
        <v>46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ht="16.5" customHeight="1">
      <c r="A22" s="16" t="s">
        <v>51</v>
      </c>
      <c r="B22" s="16" t="s">
        <v>52</v>
      </c>
      <c r="C22" s="16"/>
      <c r="D22" s="49" t="s">
        <v>46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ht="41.25" customHeight="1">
      <c r="A23" s="16" t="s">
        <v>53</v>
      </c>
      <c r="B23" s="58" t="s">
        <v>54</v>
      </c>
      <c r="C23" s="16"/>
      <c r="D23" s="49" t="s">
        <v>55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ht="16.5" customHeight="1">
      <c r="A24" s="16"/>
      <c r="B24" s="16"/>
      <c r="C24" s="16"/>
      <c r="D24" s="4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ht="16.5" customHeight="1">
      <c r="A25" s="16"/>
      <c r="B25" s="16"/>
      <c r="C25" s="16"/>
      <c r="D25" s="4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ht="16.5" customHeight="1">
      <c r="A26" s="16"/>
      <c r="B26" s="16"/>
      <c r="C26" s="16"/>
      <c r="D26" s="4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ht="16.5" customHeight="1">
      <c r="A27" s="16"/>
      <c r="B27" s="16"/>
      <c r="C27" s="16"/>
      <c r="D27" s="4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ht="16.5" customHeight="1">
      <c r="A28" s="16"/>
      <c r="B28" s="16"/>
      <c r="C28" s="16"/>
      <c r="D28" s="4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ht="16.5" customHeight="1">
      <c r="A29" s="16"/>
      <c r="B29" s="16"/>
      <c r="C29" s="16"/>
      <c r="D29" s="4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ht="16.5" customHeight="1">
      <c r="A30" s="16"/>
      <c r="B30" s="16"/>
      <c r="C30" s="16"/>
      <c r="D30" s="4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ht="16.5" customHeight="1">
      <c r="A31" s="16"/>
      <c r="B31" s="16"/>
      <c r="C31" s="16"/>
      <c r="D31" s="4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ht="16.5" customHeight="1">
      <c r="A32" s="16"/>
      <c r="B32" s="16"/>
      <c r="C32" s="16"/>
      <c r="D32" s="4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ht="16.5" customHeight="1">
      <c r="A33" s="16"/>
      <c r="B33" s="16"/>
      <c r="C33" s="16"/>
      <c r="D33" s="4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ht="16.5" customHeight="1">
      <c r="A34" s="16"/>
      <c r="B34" s="16"/>
      <c r="C34" s="16"/>
      <c r="D34" s="4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ht="16.5" customHeight="1">
      <c r="A35" s="16"/>
      <c r="B35" s="16"/>
      <c r="C35" s="16"/>
      <c r="D35" s="4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ht="16.5" customHeight="1">
      <c r="A36" s="16"/>
      <c r="B36" s="16"/>
      <c r="C36" s="16"/>
      <c r="D36" s="4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ht="16.5" customHeight="1">
      <c r="A37" s="16"/>
      <c r="B37" s="16"/>
      <c r="C37" s="16"/>
      <c r="D37" s="4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ht="16.5" customHeight="1">
      <c r="A38" s="16"/>
      <c r="B38" s="16"/>
      <c r="C38" s="16"/>
      <c r="D38" s="4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ht="16.5" customHeight="1">
      <c r="A39" s="16"/>
      <c r="B39" s="16"/>
      <c r="C39" s="16"/>
      <c r="D39" s="4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ht="16.5" customHeight="1">
      <c r="A40" s="16"/>
      <c r="B40" s="16"/>
      <c r="C40" s="16"/>
      <c r="D40" s="4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ht="16.5" customHeight="1">
      <c r="A41" s="16"/>
      <c r="B41" s="16"/>
      <c r="C41" s="16"/>
      <c r="D41" s="4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ht="16.5" customHeight="1">
      <c r="A42" s="16"/>
      <c r="B42" s="16"/>
      <c r="C42" s="16"/>
      <c r="D42" s="4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ht="16.5" customHeight="1">
      <c r="A43" s="16"/>
      <c r="B43" s="16"/>
      <c r="C43" s="16"/>
      <c r="D43" s="4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ht="16.5" customHeight="1">
      <c r="A44" s="16"/>
      <c r="B44" s="16"/>
      <c r="C44" s="16"/>
      <c r="D44" s="4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ht="16.5" customHeight="1">
      <c r="A45" s="16"/>
      <c r="B45" s="16"/>
      <c r="C45" s="16"/>
      <c r="D45" s="4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ht="16.5" customHeight="1">
      <c r="A46" s="16"/>
      <c r="B46" s="16"/>
      <c r="C46" s="16"/>
      <c r="D46" s="4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ht="16.5" customHeight="1">
      <c r="A47" s="16"/>
      <c r="B47" s="16"/>
      <c r="C47" s="16"/>
      <c r="D47" s="4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ht="16.5" customHeight="1">
      <c r="A48" s="16"/>
      <c r="B48" s="16"/>
      <c r="C48" s="16"/>
      <c r="D48" s="4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ht="16.5" customHeight="1">
      <c r="A49" s="16"/>
      <c r="B49" s="16"/>
      <c r="C49" s="16"/>
      <c r="D49" s="4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ht="16.5" customHeight="1">
      <c r="A50" s="16"/>
      <c r="B50" s="16"/>
      <c r="C50" s="16"/>
      <c r="D50" s="4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ht="16.5" customHeight="1">
      <c r="A51" s="16"/>
      <c r="B51" s="16"/>
      <c r="C51" s="16"/>
      <c r="D51" s="4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ht="16.5" customHeight="1">
      <c r="A52" s="16"/>
      <c r="B52" s="16"/>
      <c r="C52" s="16"/>
      <c r="D52" s="4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ht="16.5" customHeight="1">
      <c r="A53" s="16"/>
      <c r="B53" s="16"/>
      <c r="C53" s="16"/>
      <c r="D53" s="4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ht="16.5" customHeight="1">
      <c r="A54" s="16"/>
      <c r="B54" s="16"/>
      <c r="C54" s="16"/>
      <c r="D54" s="4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ht="16.5" customHeight="1">
      <c r="A55" s="16"/>
      <c r="B55" s="16"/>
      <c r="C55" s="16"/>
      <c r="D55" s="4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ht="16.5" customHeight="1">
      <c r="A56" s="16"/>
      <c r="B56" s="16"/>
      <c r="C56" s="16"/>
      <c r="D56" s="4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ht="16.5" customHeight="1">
      <c r="A57" s="16"/>
      <c r="B57" s="16"/>
      <c r="C57" s="16"/>
      <c r="D57" s="4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ht="16.5" customHeight="1">
      <c r="A58" s="16"/>
      <c r="B58" s="16"/>
      <c r="C58" s="16"/>
      <c r="D58" s="4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ht="16.5" customHeight="1">
      <c r="A59" s="16"/>
      <c r="B59" s="16"/>
      <c r="C59" s="16"/>
      <c r="D59" s="4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ht="16.5" customHeight="1">
      <c r="A60" s="16"/>
      <c r="B60" s="16"/>
      <c r="C60" s="16"/>
      <c r="D60" s="4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ht="16.5" customHeight="1">
      <c r="A61" s="16"/>
      <c r="B61" s="16"/>
      <c r="C61" s="16"/>
      <c r="D61" s="4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ht="16.5" customHeight="1">
      <c r="A62" s="16"/>
      <c r="B62" s="16"/>
      <c r="C62" s="16"/>
      <c r="D62" s="4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ht="16.5" customHeight="1">
      <c r="A63" s="16"/>
      <c r="B63" s="16"/>
      <c r="C63" s="16"/>
      <c r="D63" s="4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ht="16.5" customHeight="1">
      <c r="A64" s="16"/>
      <c r="B64" s="16"/>
      <c r="C64" s="16"/>
      <c r="D64" s="4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ht="16.5" customHeight="1">
      <c r="A65" s="16"/>
      <c r="B65" s="16"/>
      <c r="C65" s="16"/>
      <c r="D65" s="4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ht="16.5" customHeight="1">
      <c r="A66" s="16"/>
      <c r="B66" s="16"/>
      <c r="C66" s="16"/>
      <c r="D66" s="4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ht="16.5" customHeight="1">
      <c r="A67" s="16"/>
      <c r="B67" s="16"/>
      <c r="C67" s="16"/>
      <c r="D67" s="4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ht="16.5" customHeight="1">
      <c r="A68" s="16"/>
      <c r="B68" s="16"/>
      <c r="C68" s="16"/>
      <c r="D68" s="4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ht="16.5" customHeight="1">
      <c r="A69" s="16"/>
      <c r="B69" s="16"/>
      <c r="C69" s="16"/>
      <c r="D69" s="4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ht="16.5" customHeight="1">
      <c r="A70" s="16"/>
      <c r="B70" s="16"/>
      <c r="C70" s="16"/>
      <c r="D70" s="4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ht="16.5" customHeight="1">
      <c r="A71" s="16"/>
      <c r="B71" s="16"/>
      <c r="C71" s="16"/>
      <c r="D71" s="4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ht="16.5" customHeight="1">
      <c r="A72" s="16"/>
      <c r="B72" s="16"/>
      <c r="C72" s="16"/>
      <c r="D72" s="4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ht="16.5" customHeight="1">
      <c r="A73" s="16"/>
      <c r="B73" s="16"/>
      <c r="C73" s="16"/>
      <c r="D73" s="4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ht="16.5" customHeight="1">
      <c r="A74" s="16"/>
      <c r="B74" s="16"/>
      <c r="C74" s="16"/>
      <c r="D74" s="4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ht="16.5" customHeight="1">
      <c r="A75" s="16"/>
      <c r="B75" s="16"/>
      <c r="C75" s="16"/>
      <c r="D75" s="4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ht="16.5" customHeight="1">
      <c r="A76" s="16"/>
      <c r="B76" s="16"/>
      <c r="C76" s="16"/>
      <c r="D76" s="4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ht="16.5" customHeight="1">
      <c r="A77" s="16"/>
      <c r="B77" s="16"/>
      <c r="C77" s="16"/>
      <c r="D77" s="4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ht="16.5" customHeight="1">
      <c r="A78" s="16"/>
      <c r="B78" s="16"/>
      <c r="C78" s="16"/>
      <c r="D78" s="4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ht="16.5" customHeight="1">
      <c r="A79" s="16"/>
      <c r="B79" s="16"/>
      <c r="C79" s="16"/>
      <c r="D79" s="4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ht="16.5" customHeight="1">
      <c r="A80" s="16"/>
      <c r="B80" s="16"/>
      <c r="C80" s="16"/>
      <c r="D80" s="4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ht="16.5" customHeight="1">
      <c r="A81" s="16"/>
      <c r="B81" s="16"/>
      <c r="C81" s="16"/>
      <c r="D81" s="4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ht="16.5" customHeight="1">
      <c r="A82" s="16"/>
      <c r="B82" s="16"/>
      <c r="C82" s="16"/>
      <c r="D82" s="4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ht="16.5" customHeight="1">
      <c r="A83" s="16"/>
      <c r="B83" s="16"/>
      <c r="C83" s="16"/>
      <c r="D83" s="4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ht="16.5" customHeight="1">
      <c r="A84" s="16"/>
      <c r="B84" s="16"/>
      <c r="C84" s="16"/>
      <c r="D84" s="4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ht="16.5" customHeight="1">
      <c r="A85" s="16"/>
      <c r="B85" s="16"/>
      <c r="C85" s="16"/>
      <c r="D85" s="4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ht="16.5" customHeight="1">
      <c r="A86" s="16"/>
      <c r="B86" s="16"/>
      <c r="C86" s="16"/>
      <c r="D86" s="4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ht="16.5" customHeight="1">
      <c r="A87" s="16"/>
      <c r="B87" s="16"/>
      <c r="C87" s="16"/>
      <c r="D87" s="4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ht="16.5" customHeight="1">
      <c r="A88" s="16"/>
      <c r="B88" s="16"/>
      <c r="C88" s="16"/>
      <c r="D88" s="4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ht="16.5" customHeight="1">
      <c r="A89" s="16"/>
      <c r="B89" s="16"/>
      <c r="C89" s="16"/>
      <c r="D89" s="4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ht="16.5" customHeight="1">
      <c r="A90" s="16"/>
      <c r="B90" s="16"/>
      <c r="C90" s="16"/>
      <c r="D90" s="4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ht="16.5" customHeight="1">
      <c r="A91" s="16"/>
      <c r="B91" s="16"/>
      <c r="C91" s="16"/>
      <c r="D91" s="4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ht="16.5" customHeight="1">
      <c r="A92" s="16"/>
      <c r="B92" s="16"/>
      <c r="C92" s="16"/>
      <c r="D92" s="4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ht="16.5" customHeight="1">
      <c r="A93" s="16"/>
      <c r="B93" s="16"/>
      <c r="C93" s="16"/>
      <c r="D93" s="4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ht="16.5" customHeight="1">
      <c r="A94" s="16"/>
      <c r="B94" s="16"/>
      <c r="C94" s="16"/>
      <c r="D94" s="4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ht="16.5" customHeight="1">
      <c r="A95" s="16"/>
      <c r="B95" s="16"/>
      <c r="C95" s="16"/>
      <c r="D95" s="4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ht="16.5" customHeight="1">
      <c r="A96" s="16"/>
      <c r="B96" s="16"/>
      <c r="C96" s="16"/>
      <c r="D96" s="4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ht="16.5" customHeight="1">
      <c r="A97" s="16"/>
      <c r="B97" s="16"/>
      <c r="C97" s="16"/>
      <c r="D97" s="4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ht="16.5" customHeight="1">
      <c r="A98" s="16"/>
      <c r="B98" s="16"/>
      <c r="C98" s="16"/>
      <c r="D98" s="4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ht="16.5" customHeight="1">
      <c r="A99" s="16"/>
      <c r="B99" s="16"/>
      <c r="C99" s="16"/>
      <c r="D99" s="4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ht="16.5" customHeight="1">
      <c r="A100" s="16"/>
      <c r="B100" s="16"/>
      <c r="C100" s="16"/>
      <c r="D100" s="4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ht="16.5" customHeight="1">
      <c r="A101" s="16"/>
      <c r="B101" s="16"/>
      <c r="C101" s="16"/>
      <c r="D101" s="4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ht="16.5" customHeight="1">
      <c r="A102" s="16"/>
      <c r="B102" s="16"/>
      <c r="C102" s="16"/>
      <c r="D102" s="4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ht="16.5" customHeight="1">
      <c r="A103" s="16"/>
      <c r="B103" s="16"/>
      <c r="C103" s="16"/>
      <c r="D103" s="4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ht="16.5" customHeight="1">
      <c r="A104" s="16"/>
      <c r="B104" s="16"/>
      <c r="C104" s="16"/>
      <c r="D104" s="4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ht="16.5" customHeight="1">
      <c r="A105" s="16"/>
      <c r="B105" s="16"/>
      <c r="C105" s="16"/>
      <c r="D105" s="4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ht="16.5" customHeight="1">
      <c r="A106" s="16"/>
      <c r="B106" s="16"/>
      <c r="C106" s="16"/>
      <c r="D106" s="4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ht="16.5" customHeight="1">
      <c r="A107" s="16"/>
      <c r="B107" s="16"/>
      <c r="C107" s="16"/>
      <c r="D107" s="4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ht="16.5" customHeight="1">
      <c r="A108" s="16"/>
      <c r="B108" s="16"/>
      <c r="C108" s="16"/>
      <c r="D108" s="4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ht="16.5" customHeight="1">
      <c r="A109" s="16"/>
      <c r="B109" s="16"/>
      <c r="C109" s="16"/>
      <c r="D109" s="4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ht="16.5" customHeight="1">
      <c r="A110" s="16"/>
      <c r="B110" s="16"/>
      <c r="C110" s="16"/>
      <c r="D110" s="4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ht="16.5" customHeight="1">
      <c r="A111" s="16"/>
      <c r="B111" s="16"/>
      <c r="C111" s="16"/>
      <c r="D111" s="4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ht="16.5" customHeight="1">
      <c r="A112" s="16"/>
      <c r="B112" s="16"/>
      <c r="C112" s="16"/>
      <c r="D112" s="4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ht="16.5" customHeight="1">
      <c r="A113" s="16"/>
      <c r="B113" s="16"/>
      <c r="C113" s="16"/>
      <c r="D113" s="4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ht="16.5" customHeight="1">
      <c r="A114" s="16"/>
      <c r="B114" s="16"/>
      <c r="C114" s="16"/>
      <c r="D114" s="4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ht="16.5" customHeight="1">
      <c r="A115" s="16"/>
      <c r="B115" s="16"/>
      <c r="C115" s="16"/>
      <c r="D115" s="4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ht="16.5" customHeight="1">
      <c r="A116" s="16"/>
      <c r="B116" s="16"/>
      <c r="C116" s="16"/>
      <c r="D116" s="4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ht="16.5" customHeight="1">
      <c r="A117" s="16"/>
      <c r="B117" s="16"/>
      <c r="C117" s="16"/>
      <c r="D117" s="4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ht="16.5" customHeight="1">
      <c r="A118" s="16"/>
      <c r="B118" s="16"/>
      <c r="C118" s="16"/>
      <c r="D118" s="4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ht="16.5" customHeight="1">
      <c r="A119" s="16"/>
      <c r="B119" s="16"/>
      <c r="C119" s="16"/>
      <c r="D119" s="4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ht="16.5" customHeight="1">
      <c r="A120" s="16"/>
      <c r="B120" s="16"/>
      <c r="C120" s="16"/>
      <c r="D120" s="4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ht="16.5" customHeight="1">
      <c r="A121" s="16"/>
      <c r="B121" s="16"/>
      <c r="C121" s="16"/>
      <c r="D121" s="4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ht="16.5" customHeight="1">
      <c r="A122" s="16"/>
      <c r="B122" s="16"/>
      <c r="C122" s="16"/>
      <c r="D122" s="4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ht="16.5" customHeight="1">
      <c r="A123" s="16"/>
      <c r="B123" s="16"/>
      <c r="C123" s="16"/>
      <c r="D123" s="4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ht="16.5" customHeight="1">
      <c r="A124" s="16"/>
      <c r="B124" s="16"/>
      <c r="C124" s="16"/>
      <c r="D124" s="4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ht="16.5" customHeight="1">
      <c r="A125" s="16"/>
      <c r="B125" s="16"/>
      <c r="C125" s="16"/>
      <c r="D125" s="4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ht="16.5" customHeight="1">
      <c r="A126" s="16"/>
      <c r="B126" s="16"/>
      <c r="C126" s="16"/>
      <c r="D126" s="4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ht="16.5" customHeight="1">
      <c r="A127" s="16"/>
      <c r="B127" s="16"/>
      <c r="C127" s="16"/>
      <c r="D127" s="4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ht="16.5" customHeight="1">
      <c r="A128" s="16"/>
      <c r="B128" s="16"/>
      <c r="C128" s="16"/>
      <c r="D128" s="4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ht="16.5" customHeight="1">
      <c r="A129" s="16"/>
      <c r="B129" s="16"/>
      <c r="C129" s="16"/>
      <c r="D129" s="4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ht="16.5" customHeight="1">
      <c r="A130" s="16"/>
      <c r="B130" s="16"/>
      <c r="C130" s="16"/>
      <c r="D130" s="4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ht="16.5" customHeight="1">
      <c r="A131" s="16"/>
      <c r="B131" s="16"/>
      <c r="C131" s="16"/>
      <c r="D131" s="4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ht="16.5" customHeight="1">
      <c r="A132" s="16"/>
      <c r="B132" s="16"/>
      <c r="C132" s="16"/>
      <c r="D132" s="4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ht="16.5" customHeight="1">
      <c r="A133" s="16"/>
      <c r="B133" s="16"/>
      <c r="C133" s="16"/>
      <c r="D133" s="4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ht="16.5" customHeight="1">
      <c r="A134" s="16"/>
      <c r="B134" s="16"/>
      <c r="C134" s="16"/>
      <c r="D134" s="4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ht="16.5" customHeight="1">
      <c r="A135" s="16"/>
      <c r="B135" s="16"/>
      <c r="C135" s="16"/>
      <c r="D135" s="4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ht="16.5" customHeight="1">
      <c r="A136" s="16"/>
      <c r="B136" s="16"/>
      <c r="C136" s="16"/>
      <c r="D136" s="4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ht="16.5" customHeight="1">
      <c r="A137" s="16"/>
      <c r="B137" s="16"/>
      <c r="C137" s="16"/>
      <c r="D137" s="4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ht="16.5" customHeight="1">
      <c r="A138" s="16"/>
      <c r="B138" s="16"/>
      <c r="C138" s="16"/>
      <c r="D138" s="4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ht="16.5" customHeight="1">
      <c r="A139" s="16"/>
      <c r="B139" s="16"/>
      <c r="C139" s="16"/>
      <c r="D139" s="4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ht="16.5" customHeight="1">
      <c r="A140" s="16"/>
      <c r="B140" s="16"/>
      <c r="C140" s="16"/>
      <c r="D140" s="4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ht="16.5" customHeight="1">
      <c r="A141" s="16"/>
      <c r="B141" s="16"/>
      <c r="C141" s="16"/>
      <c r="D141" s="4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ht="16.5" customHeight="1">
      <c r="A142" s="16"/>
      <c r="B142" s="16"/>
      <c r="C142" s="16"/>
      <c r="D142" s="4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ht="16.5" customHeight="1">
      <c r="A143" s="16"/>
      <c r="B143" s="16"/>
      <c r="C143" s="16"/>
      <c r="D143" s="4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ht="16.5" customHeight="1">
      <c r="A144" s="16"/>
      <c r="B144" s="16"/>
      <c r="C144" s="16"/>
      <c r="D144" s="4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ht="16.5" customHeight="1">
      <c r="A145" s="16"/>
      <c r="B145" s="16"/>
      <c r="C145" s="16"/>
      <c r="D145" s="4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ht="16.5" customHeight="1">
      <c r="A146" s="16"/>
      <c r="B146" s="16"/>
      <c r="C146" s="16"/>
      <c r="D146" s="4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ht="16.5" customHeight="1">
      <c r="A147" s="16"/>
      <c r="B147" s="16"/>
      <c r="C147" s="16"/>
      <c r="D147" s="4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ht="16.5" customHeight="1">
      <c r="A148" s="16"/>
      <c r="B148" s="16"/>
      <c r="C148" s="16"/>
      <c r="D148" s="4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ht="16.5" customHeight="1">
      <c r="A149" s="16"/>
      <c r="B149" s="16"/>
      <c r="C149" s="16"/>
      <c r="D149" s="4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ht="16.5" customHeight="1">
      <c r="A150" s="16"/>
      <c r="B150" s="16"/>
      <c r="C150" s="16"/>
      <c r="D150" s="4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ht="16.5" customHeight="1">
      <c r="A151" s="16"/>
      <c r="B151" s="16"/>
      <c r="C151" s="16"/>
      <c r="D151" s="4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ht="16.5" customHeight="1">
      <c r="A152" s="16"/>
      <c r="B152" s="16"/>
      <c r="C152" s="16"/>
      <c r="D152" s="4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ht="16.5" customHeight="1">
      <c r="A153" s="16"/>
      <c r="B153" s="16"/>
      <c r="C153" s="16"/>
      <c r="D153" s="4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ht="16.5" customHeight="1">
      <c r="A154" s="16"/>
      <c r="B154" s="16"/>
      <c r="C154" s="16"/>
      <c r="D154" s="4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ht="16.5" customHeight="1">
      <c r="A155" s="16"/>
      <c r="B155" s="16"/>
      <c r="C155" s="16"/>
      <c r="D155" s="4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ht="16.5" customHeight="1">
      <c r="A156" s="16"/>
      <c r="B156" s="16"/>
      <c r="C156" s="16"/>
      <c r="D156" s="4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ht="16.5" customHeight="1">
      <c r="A157" s="16"/>
      <c r="B157" s="16"/>
      <c r="C157" s="16"/>
      <c r="D157" s="4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ht="16.5" customHeight="1">
      <c r="A158" s="16"/>
      <c r="B158" s="16"/>
      <c r="C158" s="16"/>
      <c r="D158" s="4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ht="16.5" customHeight="1">
      <c r="A159" s="16"/>
      <c r="B159" s="16"/>
      <c r="C159" s="16"/>
      <c r="D159" s="4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ht="16.5" customHeight="1">
      <c r="A160" s="16"/>
      <c r="B160" s="16"/>
      <c r="C160" s="16"/>
      <c r="D160" s="4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ht="16.5" customHeight="1">
      <c r="A161" s="16"/>
      <c r="B161" s="16"/>
      <c r="C161" s="16"/>
      <c r="D161" s="4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ht="16.5" customHeight="1">
      <c r="A162" s="16"/>
      <c r="B162" s="16"/>
      <c r="C162" s="16"/>
      <c r="D162" s="4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ht="16.5" customHeight="1">
      <c r="A163" s="16"/>
      <c r="B163" s="16"/>
      <c r="C163" s="16"/>
      <c r="D163" s="4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ht="16.5" customHeight="1">
      <c r="A164" s="16"/>
      <c r="B164" s="16"/>
      <c r="C164" s="16"/>
      <c r="D164" s="4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ht="16.5" customHeight="1">
      <c r="A165" s="16"/>
      <c r="B165" s="16"/>
      <c r="C165" s="16"/>
      <c r="D165" s="4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ht="16.5" customHeight="1">
      <c r="A166" s="16"/>
      <c r="B166" s="16"/>
      <c r="C166" s="16"/>
      <c r="D166" s="4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ht="16.5" customHeight="1">
      <c r="A167" s="16"/>
      <c r="B167" s="16"/>
      <c r="C167" s="16"/>
      <c r="D167" s="4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ht="16.5" customHeight="1">
      <c r="A168" s="16"/>
      <c r="B168" s="16"/>
      <c r="C168" s="16"/>
      <c r="D168" s="4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ht="16.5" customHeight="1">
      <c r="A169" s="16"/>
      <c r="B169" s="16"/>
      <c r="C169" s="16"/>
      <c r="D169" s="4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ht="16.5" customHeight="1">
      <c r="A170" s="16"/>
      <c r="B170" s="16"/>
      <c r="C170" s="16"/>
      <c r="D170" s="4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ht="16.5" customHeight="1">
      <c r="A171" s="16"/>
      <c r="B171" s="16"/>
      <c r="C171" s="16"/>
      <c r="D171" s="4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ht="16.5" customHeight="1">
      <c r="A172" s="16"/>
      <c r="B172" s="16"/>
      <c r="C172" s="16"/>
      <c r="D172" s="4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ht="16.5" customHeight="1">
      <c r="A173" s="16"/>
      <c r="B173" s="16"/>
      <c r="C173" s="16"/>
      <c r="D173" s="4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ht="16.5" customHeight="1">
      <c r="A174" s="16"/>
      <c r="B174" s="16"/>
      <c r="C174" s="16"/>
      <c r="D174" s="4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ht="16.5" customHeight="1">
      <c r="A175" s="16"/>
      <c r="B175" s="16"/>
      <c r="C175" s="16"/>
      <c r="D175" s="4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ht="16.5" customHeight="1">
      <c r="A176" s="16"/>
      <c r="B176" s="16"/>
      <c r="C176" s="16"/>
      <c r="D176" s="4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ht="16.5" customHeight="1">
      <c r="A177" s="16"/>
      <c r="B177" s="16"/>
      <c r="C177" s="16"/>
      <c r="D177" s="4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ht="16.5" customHeight="1">
      <c r="A178" s="16"/>
      <c r="B178" s="16"/>
      <c r="C178" s="16"/>
      <c r="D178" s="4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ht="16.5" customHeight="1">
      <c r="A179" s="16"/>
      <c r="B179" s="16"/>
      <c r="C179" s="16"/>
      <c r="D179" s="4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ht="16.5" customHeight="1">
      <c r="A180" s="16"/>
      <c r="B180" s="16"/>
      <c r="C180" s="16"/>
      <c r="D180" s="4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ht="16.5" customHeight="1">
      <c r="A181" s="16"/>
      <c r="B181" s="16"/>
      <c r="C181" s="16"/>
      <c r="D181" s="4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ht="16.5" customHeight="1">
      <c r="A182" s="16"/>
      <c r="B182" s="16"/>
      <c r="C182" s="16"/>
      <c r="D182" s="4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ht="16.5" customHeight="1">
      <c r="A183" s="16"/>
      <c r="B183" s="16"/>
      <c r="C183" s="16"/>
      <c r="D183" s="4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ht="16.5" customHeight="1">
      <c r="A184" s="16"/>
      <c r="B184" s="16"/>
      <c r="C184" s="16"/>
      <c r="D184" s="4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ht="16.5" customHeight="1">
      <c r="A185" s="16"/>
      <c r="B185" s="16"/>
      <c r="C185" s="16"/>
      <c r="D185" s="4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ht="16.5" customHeight="1">
      <c r="A186" s="16"/>
      <c r="B186" s="16"/>
      <c r="C186" s="16"/>
      <c r="D186" s="4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ht="16.5" customHeight="1">
      <c r="A187" s="16"/>
      <c r="B187" s="16"/>
      <c r="C187" s="16"/>
      <c r="D187" s="4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ht="16.5" customHeight="1">
      <c r="A188" s="16"/>
      <c r="B188" s="16"/>
      <c r="C188" s="16"/>
      <c r="D188" s="4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ht="16.5" customHeight="1">
      <c r="A189" s="16"/>
      <c r="B189" s="16"/>
      <c r="C189" s="16"/>
      <c r="D189" s="4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ht="16.5" customHeight="1">
      <c r="A190" s="16"/>
      <c r="B190" s="16"/>
      <c r="C190" s="16"/>
      <c r="D190" s="4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ht="16.5" customHeight="1">
      <c r="A191" s="16"/>
      <c r="B191" s="16"/>
      <c r="C191" s="16"/>
      <c r="D191" s="4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ht="16.5" customHeight="1">
      <c r="A192" s="16"/>
      <c r="B192" s="16"/>
      <c r="C192" s="16"/>
      <c r="D192" s="4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ht="16.5" customHeight="1">
      <c r="A193" s="16"/>
      <c r="B193" s="16"/>
      <c r="C193" s="16"/>
      <c r="D193" s="4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  <row r="194" ht="16.5" customHeight="1">
      <c r="A194" s="16"/>
      <c r="B194" s="16"/>
      <c r="C194" s="16"/>
      <c r="D194" s="4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</row>
  </sheetData>
  <mergeCells count="14">
    <mergeCell ref="B20:C20"/>
    <mergeCell ref="A18:F18"/>
    <mergeCell ref="B13:C13"/>
    <mergeCell ref="B14:C14"/>
    <mergeCell ref="A3:F3"/>
    <mergeCell ref="B5:D5"/>
    <mergeCell ref="B19:C19"/>
    <mergeCell ref="B15:C15"/>
    <mergeCell ref="A12:F12"/>
    <mergeCell ref="B2:C2"/>
    <mergeCell ref="A1:F1"/>
    <mergeCell ref="D2:E2"/>
    <mergeCell ref="B16:C16"/>
    <mergeCell ref="B17:C1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7.02734375" customWidth="1"/>
    <col min="2" max="2" width="22.3740234375" customWidth="1"/>
    <col min="3" max="3" width="24.6796875" customWidth="1"/>
    <col min="4" max="4" width="32.736328125" customWidth="1" style="14"/>
    <col min="5" max="5" width="30.3603515625"/>
    <col min="6" max="6" width="34.388671875" customWidth="1"/>
  </cols>
  <sheetData>
    <row r="1" ht="26.25" customHeight="1">
      <c r="A1" s="76" t="s">
        <v>0</v>
      </c>
      <c r="B1" s="71"/>
      <c r="C1" s="71"/>
      <c r="D1" s="23"/>
      <c r="E1" s="71"/>
      <c r="F1" s="86"/>
      <c r="G1" s="2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ht="17.25" customHeight="1">
      <c r="A2" s="93"/>
      <c r="B2" s="94" t="s">
        <v>57</v>
      </c>
      <c r="C2" s="95"/>
      <c r="D2" s="94" t="s">
        <v>2</v>
      </c>
      <c r="E2" s="95"/>
      <c r="F2" s="96"/>
      <c r="G2" s="2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ht="27.75" customHeight="1">
      <c r="A3" s="97" t="s">
        <v>3</v>
      </c>
      <c r="B3" s="98"/>
      <c r="C3" s="98"/>
      <c r="D3" s="104"/>
      <c r="E3" s="98"/>
      <c r="F3" s="99"/>
      <c r="G3" s="20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ht="27.75" customHeight="1">
      <c r="A4" s="77" t="s">
        <v>5</v>
      </c>
      <c r="B4" s="39" t="s">
        <v>6</v>
      </c>
      <c r="C4" s="39" t="s">
        <v>7</v>
      </c>
      <c r="D4" s="39" t="s">
        <v>8</v>
      </c>
      <c r="E4" s="39" t="s">
        <v>9</v>
      </c>
      <c r="F4" s="87" t="s">
        <v>10</v>
      </c>
      <c r="G4" s="20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ht="27.75" customHeight="1">
      <c r="A5" s="78" t="s">
        <v>11</v>
      </c>
      <c r="B5" s="7" t="n">
        <v>53947</v>
      </c>
      <c r="C5" s="6"/>
      <c r="D5" s="6"/>
      <c r="E5" s="25" t="s">
        <v>58</v>
      </c>
      <c r="F5" s="28"/>
      <c r="G5" s="45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27.75" customHeight="1">
      <c r="A6" s="79" t="s">
        <v>12</v>
      </c>
      <c r="B6" s="31" t="n">
        <v>5854</v>
      </c>
      <c r="C6" s="31" t="n">
        <v>4572</v>
      </c>
      <c r="D6" s="31" t="n">
        <f>SUM(B6,C6)</f>
        <v>10426</v>
      </c>
      <c r="E6" s="46" t="s">
        <v>59</v>
      </c>
      <c r="F6" s="89"/>
      <c r="G6" s="20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ht="27.75" customHeight="1">
      <c r="A7" s="80" t="s">
        <v>13</v>
      </c>
      <c r="B7" s="9" t="s">
        <v>14</v>
      </c>
      <c r="C7" s="9" t="s">
        <v>14</v>
      </c>
      <c r="D7" s="17" t="n">
        <f>D6/B5*100%</f>
        <v>0.193263758874451</v>
      </c>
      <c r="E7" s="46" t="s">
        <v>60</v>
      </c>
      <c r="F7" s="90"/>
      <c r="G7" s="2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ht="27.75" customHeight="1">
      <c r="A8" s="81" t="s">
        <v>15</v>
      </c>
      <c r="B8" s="15" t="n">
        <f>B9/B6</f>
        <v>15.2576016399043</v>
      </c>
      <c r="C8" s="15" t="n">
        <f>C9/C6</f>
        <v>17.0323709536308</v>
      </c>
      <c r="D8" s="15" t="n">
        <f>D9/D6</f>
        <v>16.0358718588145</v>
      </c>
      <c r="E8" s="46" t="s">
        <v>61</v>
      </c>
      <c r="F8" s="22"/>
      <c r="G8" s="2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ht="27.75" customHeight="1">
      <c r="A9" s="53" t="s">
        <v>16</v>
      </c>
      <c r="B9" s="54" t="n">
        <v>89318</v>
      </c>
      <c r="C9" s="54" t="n">
        <v>77872</v>
      </c>
      <c r="D9" s="54" t="n">
        <f>SUM(B9,C9)</f>
        <v>167190</v>
      </c>
      <c r="E9" s="46" t="s">
        <v>62</v>
      </c>
      <c r="F9" s="56"/>
      <c r="G9" s="2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ht="27.75" customHeight="1">
      <c r="A10" s="27" t="s">
        <v>17</v>
      </c>
      <c r="B10" s="65" t="n">
        <v>0.2742</v>
      </c>
      <c r="C10" s="27"/>
      <c r="D10" s="27"/>
      <c r="E10" s="25" t="s">
        <v>63</v>
      </c>
      <c r="F10" s="52" t="s">
        <v>64</v>
      </c>
      <c r="G10" s="2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27.75" customHeight="1">
      <c r="A11" s="101"/>
      <c r="B11" s="102"/>
      <c r="C11" s="102"/>
      <c r="D11" s="26"/>
      <c r="E11" s="102"/>
      <c r="F11" s="103"/>
      <c r="G11" s="2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ht="27.75" customHeight="1">
      <c r="A12" s="97" t="s">
        <v>18</v>
      </c>
      <c r="B12" s="104"/>
      <c r="C12" s="104"/>
      <c r="D12" s="104"/>
      <c r="E12" s="104"/>
      <c r="F12" s="105"/>
      <c r="G12" s="20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ht="27.75" customHeight="1">
      <c r="A13" s="82" t="s">
        <v>19</v>
      </c>
      <c r="B13" s="37" t="s">
        <v>20</v>
      </c>
      <c r="C13" s="38"/>
      <c r="D13" s="39" t="s">
        <v>21</v>
      </c>
      <c r="E13" s="39" t="s">
        <v>22</v>
      </c>
      <c r="F13" s="87" t="s">
        <v>10</v>
      </c>
      <c r="G13" s="20"/>
      <c r="H13" s="20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61.916666666666664" customHeight="1">
      <c r="A14" s="48" t="s">
        <v>23</v>
      </c>
      <c r="B14" s="68" t="s">
        <v>24</v>
      </c>
      <c r="C14" s="47"/>
      <c r="D14" s="29" t="s">
        <v>43</v>
      </c>
      <c r="E14" s="44"/>
      <c r="F14" s="18"/>
      <c r="G14" s="20"/>
      <c r="H14" s="20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ht="41.25" customHeight="1">
      <c r="A15" s="48" t="s">
        <v>41</v>
      </c>
      <c r="B15" s="68" t="s">
        <v>42</v>
      </c>
      <c r="C15" s="47"/>
      <c r="D15" s="33" t="s">
        <v>48</v>
      </c>
      <c r="E15" s="29"/>
      <c r="F15" s="11" t="s">
        <v>44</v>
      </c>
      <c r="G15" s="20"/>
      <c r="H15" s="20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ht="54.75" customHeight="1">
      <c r="A16" s="48" t="s">
        <v>26</v>
      </c>
      <c r="B16" s="68" t="s">
        <v>45</v>
      </c>
      <c r="C16" s="47"/>
      <c r="D16" s="33" t="s">
        <v>46</v>
      </c>
      <c r="E16" s="5"/>
      <c r="F16" s="11" t="s">
        <v>47</v>
      </c>
      <c r="G16" s="20"/>
      <c r="H16" s="20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ht="27.75" customHeight="1">
      <c r="A17" s="43"/>
      <c r="B17" s="50"/>
      <c r="C17" s="51"/>
      <c r="D17" s="74"/>
      <c r="E17" s="75"/>
      <c r="F17" s="92"/>
      <c r="G17" s="20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ht="18" customHeight="1">
      <c r="A18" s="97" t="s">
        <v>31</v>
      </c>
      <c r="B18" s="104"/>
      <c r="C18" s="104"/>
      <c r="D18" s="104"/>
      <c r="E18" s="104"/>
      <c r="F18" s="10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ht="16.5" customHeight="1">
      <c r="A19" s="82" t="s">
        <v>19</v>
      </c>
      <c r="B19" s="37" t="s">
        <v>20</v>
      </c>
      <c r="C19" s="38"/>
      <c r="D19" s="39" t="s">
        <v>21</v>
      </c>
      <c r="E19" s="39" t="s">
        <v>22</v>
      </c>
      <c r="F19" s="87" t="s">
        <v>10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ht="27.75" customHeight="1">
      <c r="A20" s="16" t="s">
        <v>32</v>
      </c>
      <c r="B20" s="66" t="s">
        <v>33</v>
      </c>
      <c r="C20" s="67"/>
      <c r="D20" s="49" t="s">
        <v>46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ht="16.5" customHeight="1">
      <c r="A21" s="16" t="s">
        <v>49</v>
      </c>
      <c r="B21" s="16" t="s">
        <v>50</v>
      </c>
      <c r="C21" s="16"/>
      <c r="D21" s="49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ht="16.5" customHeight="1">
      <c r="A22" s="16"/>
      <c r="B22" s="16"/>
      <c r="C22" s="16"/>
      <c r="D22" s="49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ht="16.5" customHeight="1">
      <c r="A23" s="16"/>
      <c r="B23" s="16"/>
      <c r="C23" s="16"/>
      <c r="D23" s="4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ht="16.5" customHeight="1">
      <c r="A24" s="16"/>
      <c r="B24" s="16"/>
      <c r="C24" s="16"/>
      <c r="D24" s="4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ht="16.5" customHeight="1">
      <c r="A25" s="16"/>
      <c r="B25" s="16"/>
      <c r="C25" s="16"/>
      <c r="D25" s="4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ht="16.5" customHeight="1">
      <c r="A26" s="16"/>
      <c r="B26" s="16"/>
      <c r="C26" s="16"/>
      <c r="D26" s="4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ht="16.5" customHeight="1">
      <c r="A27" s="16"/>
      <c r="B27" s="16"/>
      <c r="C27" s="16"/>
      <c r="D27" s="4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ht="16.5" customHeight="1">
      <c r="A28" s="16"/>
      <c r="B28" s="16"/>
      <c r="C28" s="16"/>
      <c r="D28" s="4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ht="16.5" customHeight="1">
      <c r="A29" s="16"/>
      <c r="B29" s="16"/>
      <c r="C29" s="16"/>
      <c r="D29" s="4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ht="16.5" customHeight="1">
      <c r="A30" s="16"/>
      <c r="B30" s="16"/>
      <c r="C30" s="16"/>
      <c r="D30" s="4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ht="16.5" customHeight="1">
      <c r="A31" s="16"/>
      <c r="B31" s="16"/>
      <c r="C31" s="16"/>
      <c r="D31" s="4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ht="16.5" customHeight="1">
      <c r="A32" s="16"/>
      <c r="B32" s="16"/>
      <c r="C32" s="16"/>
      <c r="D32" s="4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ht="16.5" customHeight="1">
      <c r="A33" s="16"/>
      <c r="B33" s="16"/>
      <c r="C33" s="16"/>
      <c r="D33" s="4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ht="16.5" customHeight="1">
      <c r="A34" s="16"/>
      <c r="B34" s="16"/>
      <c r="C34" s="16"/>
      <c r="D34" s="4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ht="16.5" customHeight="1">
      <c r="A35" s="16"/>
      <c r="B35" s="16"/>
      <c r="C35" s="16"/>
      <c r="D35" s="4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ht="16.5" customHeight="1">
      <c r="A36" s="16"/>
      <c r="B36" s="16"/>
      <c r="C36" s="16"/>
      <c r="D36" s="4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ht="16.5" customHeight="1">
      <c r="A37" s="16"/>
      <c r="B37" s="16"/>
      <c r="C37" s="16"/>
      <c r="D37" s="4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ht="16.5" customHeight="1">
      <c r="A38" s="16"/>
      <c r="B38" s="16"/>
      <c r="C38" s="16"/>
      <c r="D38" s="4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ht="16.5" customHeight="1">
      <c r="A39" s="16"/>
      <c r="B39" s="16"/>
      <c r="C39" s="16"/>
      <c r="D39" s="4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ht="16.5" customHeight="1">
      <c r="A40" s="16"/>
      <c r="B40" s="16"/>
      <c r="C40" s="16"/>
      <c r="D40" s="4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ht="16.5" customHeight="1">
      <c r="A41" s="16"/>
      <c r="B41" s="16"/>
      <c r="C41" s="16"/>
      <c r="D41" s="4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ht="16.5" customHeight="1">
      <c r="A42" s="16"/>
      <c r="B42" s="16"/>
      <c r="C42" s="16"/>
      <c r="D42" s="4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ht="16.5" customHeight="1">
      <c r="A43" s="16"/>
      <c r="B43" s="16"/>
      <c r="C43" s="16"/>
      <c r="D43" s="4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ht="16.5" customHeight="1">
      <c r="A44" s="16"/>
      <c r="B44" s="16"/>
      <c r="C44" s="16"/>
      <c r="D44" s="4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ht="16.5" customHeight="1">
      <c r="A45" s="16"/>
      <c r="B45" s="16"/>
      <c r="C45" s="16"/>
      <c r="D45" s="4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ht="16.5" customHeight="1">
      <c r="A46" s="16"/>
      <c r="B46" s="16"/>
      <c r="C46" s="16"/>
      <c r="D46" s="4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ht="16.5" customHeight="1">
      <c r="A47" s="16"/>
      <c r="B47" s="16"/>
      <c r="C47" s="16"/>
      <c r="D47" s="4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ht="16.5" customHeight="1">
      <c r="A48" s="16"/>
      <c r="B48" s="16"/>
      <c r="C48" s="16"/>
      <c r="D48" s="4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ht="16.5" customHeight="1">
      <c r="A49" s="16"/>
      <c r="B49" s="16"/>
      <c r="C49" s="16"/>
      <c r="D49" s="4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ht="16.5" customHeight="1">
      <c r="A50" s="16"/>
      <c r="B50" s="16"/>
      <c r="C50" s="16"/>
      <c r="D50" s="4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ht="16.5" customHeight="1">
      <c r="A51" s="16"/>
      <c r="B51" s="16"/>
      <c r="C51" s="16"/>
      <c r="D51" s="4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ht="16.5" customHeight="1">
      <c r="A52" s="16"/>
      <c r="B52" s="16"/>
      <c r="C52" s="16"/>
      <c r="D52" s="4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ht="16.5" customHeight="1">
      <c r="A53" s="16"/>
      <c r="B53" s="16"/>
      <c r="C53" s="16"/>
      <c r="D53" s="4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ht="16.5" customHeight="1">
      <c r="A54" s="16"/>
      <c r="B54" s="16"/>
      <c r="C54" s="16"/>
      <c r="D54" s="4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ht="16.5" customHeight="1">
      <c r="A55" s="16"/>
      <c r="B55" s="16"/>
      <c r="C55" s="16"/>
      <c r="D55" s="4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ht="16.5" customHeight="1">
      <c r="A56" s="16"/>
      <c r="B56" s="16"/>
      <c r="C56" s="16"/>
      <c r="D56" s="4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ht="16.5" customHeight="1">
      <c r="A57" s="16"/>
      <c r="B57" s="16"/>
      <c r="C57" s="16"/>
      <c r="D57" s="4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ht="16.5" customHeight="1">
      <c r="A58" s="16"/>
      <c r="B58" s="16"/>
      <c r="C58" s="16"/>
      <c r="D58" s="4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ht="16.5" customHeight="1">
      <c r="A59" s="16"/>
      <c r="B59" s="16"/>
      <c r="C59" s="16"/>
      <c r="D59" s="4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ht="16.5" customHeight="1">
      <c r="A60" s="16"/>
      <c r="B60" s="16"/>
      <c r="C60" s="16"/>
      <c r="D60" s="4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ht="16.5" customHeight="1">
      <c r="A61" s="16"/>
      <c r="B61" s="16"/>
      <c r="C61" s="16"/>
      <c r="D61" s="4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ht="16.5" customHeight="1">
      <c r="A62" s="16"/>
      <c r="B62" s="16"/>
      <c r="C62" s="16"/>
      <c r="D62" s="4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ht="16.5" customHeight="1">
      <c r="A63" s="16"/>
      <c r="B63" s="16"/>
      <c r="C63" s="16"/>
      <c r="D63" s="4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ht="16.5" customHeight="1">
      <c r="A64" s="16"/>
      <c r="B64" s="16"/>
      <c r="C64" s="16"/>
      <c r="D64" s="4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ht="16.5" customHeight="1">
      <c r="A65" s="16"/>
      <c r="B65" s="16"/>
      <c r="C65" s="16"/>
      <c r="D65" s="4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ht="16.5" customHeight="1">
      <c r="A66" s="16"/>
      <c r="B66" s="16"/>
      <c r="C66" s="16"/>
      <c r="D66" s="4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ht="16.5" customHeight="1">
      <c r="A67" s="16"/>
      <c r="B67" s="16"/>
      <c r="C67" s="16"/>
      <c r="D67" s="4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ht="16.5" customHeight="1">
      <c r="A68" s="16"/>
      <c r="B68" s="16"/>
      <c r="C68" s="16"/>
      <c r="D68" s="4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ht="16.5" customHeight="1">
      <c r="A69" s="16"/>
      <c r="B69" s="16"/>
      <c r="C69" s="16"/>
      <c r="D69" s="4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ht="16.5" customHeight="1">
      <c r="A70" s="16"/>
      <c r="B70" s="16"/>
      <c r="C70" s="16"/>
      <c r="D70" s="4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ht="16.5" customHeight="1">
      <c r="A71" s="16"/>
      <c r="B71" s="16"/>
      <c r="C71" s="16"/>
      <c r="D71" s="4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ht="16.5" customHeight="1">
      <c r="A72" s="16"/>
      <c r="B72" s="16"/>
      <c r="C72" s="16"/>
      <c r="D72" s="4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ht="16.5" customHeight="1">
      <c r="A73" s="16"/>
      <c r="B73" s="16"/>
      <c r="C73" s="16"/>
      <c r="D73" s="4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ht="16.5" customHeight="1">
      <c r="A74" s="16"/>
      <c r="B74" s="16"/>
      <c r="C74" s="16"/>
      <c r="D74" s="4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ht="16.5" customHeight="1">
      <c r="A75" s="16"/>
      <c r="B75" s="16"/>
      <c r="C75" s="16"/>
      <c r="D75" s="4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ht="16.5" customHeight="1">
      <c r="A76" s="16"/>
      <c r="B76" s="16"/>
      <c r="C76" s="16"/>
      <c r="D76" s="4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ht="16.5" customHeight="1">
      <c r="A77" s="16"/>
      <c r="B77" s="16"/>
      <c r="C77" s="16"/>
      <c r="D77" s="4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ht="16.5" customHeight="1">
      <c r="A78" s="16"/>
      <c r="B78" s="16"/>
      <c r="C78" s="16"/>
      <c r="D78" s="4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ht="16.5" customHeight="1">
      <c r="A79" s="16"/>
      <c r="B79" s="16"/>
      <c r="C79" s="16"/>
      <c r="D79" s="4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ht="16.5" customHeight="1">
      <c r="A80" s="16"/>
      <c r="B80" s="16"/>
      <c r="C80" s="16"/>
      <c r="D80" s="4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ht="16.5" customHeight="1">
      <c r="A81" s="16"/>
      <c r="B81" s="16"/>
      <c r="C81" s="16"/>
      <c r="D81" s="4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ht="16.5" customHeight="1">
      <c r="A82" s="16"/>
      <c r="B82" s="16"/>
      <c r="C82" s="16"/>
      <c r="D82" s="4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ht="16.5" customHeight="1">
      <c r="A83" s="16"/>
      <c r="B83" s="16"/>
      <c r="C83" s="16"/>
      <c r="D83" s="4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ht="16.5" customHeight="1">
      <c r="A84" s="16"/>
      <c r="B84" s="16"/>
      <c r="C84" s="16"/>
      <c r="D84" s="4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ht="16.5" customHeight="1">
      <c r="A85" s="16"/>
      <c r="B85" s="16"/>
      <c r="C85" s="16"/>
      <c r="D85" s="4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ht="16.5" customHeight="1">
      <c r="A86" s="16"/>
      <c r="B86" s="16"/>
      <c r="C86" s="16"/>
      <c r="D86" s="4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ht="16.5" customHeight="1">
      <c r="A87" s="16"/>
      <c r="B87" s="16"/>
      <c r="C87" s="16"/>
      <c r="D87" s="4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ht="16.5" customHeight="1">
      <c r="A88" s="16"/>
      <c r="B88" s="16"/>
      <c r="C88" s="16"/>
      <c r="D88" s="4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ht="16.5" customHeight="1">
      <c r="A89" s="16"/>
      <c r="B89" s="16"/>
      <c r="C89" s="16"/>
      <c r="D89" s="4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ht="16.5" customHeight="1">
      <c r="A90" s="16"/>
      <c r="B90" s="16"/>
      <c r="C90" s="16"/>
      <c r="D90" s="4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ht="16.5" customHeight="1">
      <c r="A91" s="16"/>
      <c r="B91" s="16"/>
      <c r="C91" s="16"/>
      <c r="D91" s="4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ht="16.5" customHeight="1">
      <c r="A92" s="16"/>
      <c r="B92" s="16"/>
      <c r="C92" s="16"/>
      <c r="D92" s="4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ht="16.5" customHeight="1">
      <c r="A93" s="16"/>
      <c r="B93" s="16"/>
      <c r="C93" s="16"/>
      <c r="D93" s="4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ht="16.5" customHeight="1">
      <c r="A94" s="16"/>
      <c r="B94" s="16"/>
      <c r="C94" s="16"/>
      <c r="D94" s="4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ht="16.5" customHeight="1">
      <c r="A95" s="16"/>
      <c r="B95" s="16"/>
      <c r="C95" s="16"/>
      <c r="D95" s="4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ht="16.5" customHeight="1">
      <c r="A96" s="16"/>
      <c r="B96" s="16"/>
      <c r="C96" s="16"/>
      <c r="D96" s="4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ht="16.5" customHeight="1">
      <c r="A97" s="16"/>
      <c r="B97" s="16"/>
      <c r="C97" s="16"/>
      <c r="D97" s="4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ht="16.5" customHeight="1">
      <c r="A98" s="16"/>
      <c r="B98" s="16"/>
      <c r="C98" s="16"/>
      <c r="D98" s="4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ht="16.5" customHeight="1">
      <c r="A99" s="16"/>
      <c r="B99" s="16"/>
      <c r="C99" s="16"/>
      <c r="D99" s="4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ht="16.5" customHeight="1">
      <c r="A100" s="16"/>
      <c r="B100" s="16"/>
      <c r="C100" s="16"/>
      <c r="D100" s="4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ht="16.5" customHeight="1">
      <c r="A101" s="16"/>
      <c r="B101" s="16"/>
      <c r="C101" s="16"/>
      <c r="D101" s="4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ht="16.5" customHeight="1">
      <c r="A102" s="16"/>
      <c r="B102" s="16"/>
      <c r="C102" s="16"/>
      <c r="D102" s="4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ht="16.5" customHeight="1">
      <c r="A103" s="16"/>
      <c r="B103" s="16"/>
      <c r="C103" s="16"/>
      <c r="D103" s="4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ht="16.5" customHeight="1">
      <c r="A104" s="16"/>
      <c r="B104" s="16"/>
      <c r="C104" s="16"/>
      <c r="D104" s="4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ht="16.5" customHeight="1">
      <c r="A105" s="16"/>
      <c r="B105" s="16"/>
      <c r="C105" s="16"/>
      <c r="D105" s="4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ht="16.5" customHeight="1">
      <c r="A106" s="16"/>
      <c r="B106" s="16"/>
      <c r="C106" s="16"/>
      <c r="D106" s="4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ht="16.5" customHeight="1">
      <c r="A107" s="16"/>
      <c r="B107" s="16"/>
      <c r="C107" s="16"/>
      <c r="D107" s="4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ht="16.5" customHeight="1">
      <c r="A108" s="16"/>
      <c r="B108" s="16"/>
      <c r="C108" s="16"/>
      <c r="D108" s="4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ht="16.5" customHeight="1">
      <c r="A109" s="16"/>
      <c r="B109" s="16"/>
      <c r="C109" s="16"/>
      <c r="D109" s="4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ht="16.5" customHeight="1">
      <c r="A110" s="16"/>
      <c r="B110" s="16"/>
      <c r="C110" s="16"/>
      <c r="D110" s="4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ht="16.5" customHeight="1">
      <c r="A111" s="16"/>
      <c r="B111" s="16"/>
      <c r="C111" s="16"/>
      <c r="D111" s="4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ht="16.5" customHeight="1">
      <c r="A112" s="16"/>
      <c r="B112" s="16"/>
      <c r="C112" s="16"/>
      <c r="D112" s="4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ht="16.5" customHeight="1">
      <c r="A113" s="16"/>
      <c r="B113" s="16"/>
      <c r="C113" s="16"/>
      <c r="D113" s="4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ht="16.5" customHeight="1">
      <c r="A114" s="16"/>
      <c r="B114" s="16"/>
      <c r="C114" s="16"/>
      <c r="D114" s="4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ht="16.5" customHeight="1">
      <c r="A115" s="16"/>
      <c r="B115" s="16"/>
      <c r="C115" s="16"/>
      <c r="D115" s="4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ht="16.5" customHeight="1">
      <c r="A116" s="16"/>
      <c r="B116" s="16"/>
      <c r="C116" s="16"/>
      <c r="D116" s="4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ht="16.5" customHeight="1">
      <c r="A117" s="16"/>
      <c r="B117" s="16"/>
      <c r="C117" s="16"/>
      <c r="D117" s="4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ht="16.5" customHeight="1">
      <c r="A118" s="16"/>
      <c r="B118" s="16"/>
      <c r="C118" s="16"/>
      <c r="D118" s="4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ht="16.5" customHeight="1">
      <c r="A119" s="16"/>
      <c r="B119" s="16"/>
      <c r="C119" s="16"/>
      <c r="D119" s="4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ht="16.5" customHeight="1">
      <c r="A120" s="16"/>
      <c r="B120" s="16"/>
      <c r="C120" s="16"/>
      <c r="D120" s="4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ht="16.5" customHeight="1">
      <c r="A121" s="16"/>
      <c r="B121" s="16"/>
      <c r="C121" s="16"/>
      <c r="D121" s="4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ht="16.5" customHeight="1">
      <c r="A122" s="16"/>
      <c r="B122" s="16"/>
      <c r="C122" s="16"/>
      <c r="D122" s="4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ht="16.5" customHeight="1">
      <c r="A123" s="16"/>
      <c r="B123" s="16"/>
      <c r="C123" s="16"/>
      <c r="D123" s="4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ht="16.5" customHeight="1">
      <c r="A124" s="16"/>
      <c r="B124" s="16"/>
      <c r="C124" s="16"/>
      <c r="D124" s="4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ht="16.5" customHeight="1">
      <c r="A125" s="16"/>
      <c r="B125" s="16"/>
      <c r="C125" s="16"/>
      <c r="D125" s="4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ht="16.5" customHeight="1">
      <c r="A126" s="16"/>
      <c r="B126" s="16"/>
      <c r="C126" s="16"/>
      <c r="D126" s="4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ht="16.5" customHeight="1">
      <c r="A127" s="16"/>
      <c r="B127" s="16"/>
      <c r="C127" s="16"/>
      <c r="D127" s="4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ht="16.5" customHeight="1">
      <c r="A128" s="16"/>
      <c r="B128" s="16"/>
      <c r="C128" s="16"/>
      <c r="D128" s="4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ht="16.5" customHeight="1">
      <c r="A129" s="16"/>
      <c r="B129" s="16"/>
      <c r="C129" s="16"/>
      <c r="D129" s="4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ht="16.5" customHeight="1">
      <c r="A130" s="16"/>
      <c r="B130" s="16"/>
      <c r="C130" s="16"/>
      <c r="D130" s="4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ht="16.5" customHeight="1">
      <c r="A131" s="16"/>
      <c r="B131" s="16"/>
      <c r="C131" s="16"/>
      <c r="D131" s="4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ht="16.5" customHeight="1">
      <c r="A132" s="16"/>
      <c r="B132" s="16"/>
      <c r="C132" s="16"/>
      <c r="D132" s="4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ht="16.5" customHeight="1">
      <c r="A133" s="16"/>
      <c r="B133" s="16"/>
      <c r="C133" s="16"/>
      <c r="D133" s="4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ht="16.5" customHeight="1">
      <c r="A134" s="16"/>
      <c r="B134" s="16"/>
      <c r="C134" s="16"/>
      <c r="D134" s="4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ht="16.5" customHeight="1">
      <c r="A135" s="16"/>
      <c r="B135" s="16"/>
      <c r="C135" s="16"/>
      <c r="D135" s="4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ht="16.5" customHeight="1">
      <c r="A136" s="16"/>
      <c r="B136" s="16"/>
      <c r="C136" s="16"/>
      <c r="D136" s="4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ht="16.5" customHeight="1">
      <c r="A137" s="16"/>
      <c r="B137" s="16"/>
      <c r="C137" s="16"/>
      <c r="D137" s="4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ht="16.5" customHeight="1">
      <c r="A138" s="16"/>
      <c r="B138" s="16"/>
      <c r="C138" s="16"/>
      <c r="D138" s="4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ht="16.5" customHeight="1">
      <c r="A139" s="16"/>
      <c r="B139" s="16"/>
      <c r="C139" s="16"/>
      <c r="D139" s="4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ht="16.5" customHeight="1">
      <c r="A140" s="16"/>
      <c r="B140" s="16"/>
      <c r="C140" s="16"/>
      <c r="D140" s="4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ht="16.5" customHeight="1">
      <c r="A141" s="16"/>
      <c r="B141" s="16"/>
      <c r="C141" s="16"/>
      <c r="D141" s="4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ht="16.5" customHeight="1">
      <c r="A142" s="16"/>
      <c r="B142" s="16"/>
      <c r="C142" s="16"/>
      <c r="D142" s="4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ht="16.5" customHeight="1">
      <c r="A143" s="16"/>
      <c r="B143" s="16"/>
      <c r="C143" s="16"/>
      <c r="D143" s="4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ht="16.5" customHeight="1">
      <c r="A144" s="16"/>
      <c r="B144" s="16"/>
      <c r="C144" s="16"/>
      <c r="D144" s="4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ht="16.5" customHeight="1">
      <c r="A145" s="16"/>
      <c r="B145" s="16"/>
      <c r="C145" s="16"/>
      <c r="D145" s="4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ht="16.5" customHeight="1">
      <c r="A146" s="16"/>
      <c r="B146" s="16"/>
      <c r="C146" s="16"/>
      <c r="D146" s="4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ht="16.5" customHeight="1">
      <c r="A147" s="16"/>
      <c r="B147" s="16"/>
      <c r="C147" s="16"/>
      <c r="D147" s="4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ht="16.5" customHeight="1">
      <c r="A148" s="16"/>
      <c r="B148" s="16"/>
      <c r="C148" s="16"/>
      <c r="D148" s="4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ht="16.5" customHeight="1">
      <c r="A149" s="16"/>
      <c r="B149" s="16"/>
      <c r="C149" s="16"/>
      <c r="D149" s="4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ht="16.5" customHeight="1">
      <c r="A150" s="16"/>
      <c r="B150" s="16"/>
      <c r="C150" s="16"/>
      <c r="D150" s="4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ht="16.5" customHeight="1">
      <c r="A151" s="16"/>
      <c r="B151" s="16"/>
      <c r="C151" s="16"/>
      <c r="D151" s="4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ht="16.5" customHeight="1">
      <c r="A152" s="16"/>
      <c r="B152" s="16"/>
      <c r="C152" s="16"/>
      <c r="D152" s="4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ht="16.5" customHeight="1">
      <c r="A153" s="16"/>
      <c r="B153" s="16"/>
      <c r="C153" s="16"/>
      <c r="D153" s="4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ht="16.5" customHeight="1">
      <c r="A154" s="16"/>
      <c r="B154" s="16"/>
      <c r="C154" s="16"/>
      <c r="D154" s="4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ht="16.5" customHeight="1">
      <c r="A155" s="16"/>
      <c r="B155" s="16"/>
      <c r="C155" s="16"/>
      <c r="D155" s="4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ht="16.5" customHeight="1">
      <c r="A156" s="16"/>
      <c r="B156" s="16"/>
      <c r="C156" s="16"/>
      <c r="D156" s="4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ht="16.5" customHeight="1">
      <c r="A157" s="16"/>
      <c r="B157" s="16"/>
      <c r="C157" s="16"/>
      <c r="D157" s="4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ht="16.5" customHeight="1">
      <c r="A158" s="16"/>
      <c r="B158" s="16"/>
      <c r="C158" s="16"/>
      <c r="D158" s="4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ht="16.5" customHeight="1">
      <c r="A159" s="16"/>
      <c r="B159" s="16"/>
      <c r="C159" s="16"/>
      <c r="D159" s="4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ht="16.5" customHeight="1">
      <c r="A160" s="16"/>
      <c r="B160" s="16"/>
      <c r="C160" s="16"/>
      <c r="D160" s="4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ht="16.5" customHeight="1">
      <c r="A161" s="16"/>
      <c r="B161" s="16"/>
      <c r="C161" s="16"/>
      <c r="D161" s="4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ht="16.5" customHeight="1">
      <c r="A162" s="16"/>
      <c r="B162" s="16"/>
      <c r="C162" s="16"/>
      <c r="D162" s="4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ht="16.5" customHeight="1">
      <c r="A163" s="16"/>
      <c r="B163" s="16"/>
      <c r="C163" s="16"/>
      <c r="D163" s="4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ht="16.5" customHeight="1">
      <c r="A164" s="16"/>
      <c r="B164" s="16"/>
      <c r="C164" s="16"/>
      <c r="D164" s="4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ht="16.5" customHeight="1">
      <c r="A165" s="16"/>
      <c r="B165" s="16"/>
      <c r="C165" s="16"/>
      <c r="D165" s="4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ht="16.5" customHeight="1">
      <c r="A166" s="16"/>
      <c r="B166" s="16"/>
      <c r="C166" s="16"/>
      <c r="D166" s="4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ht="16.5" customHeight="1">
      <c r="A167" s="16"/>
      <c r="B167" s="16"/>
      <c r="C167" s="16"/>
      <c r="D167" s="4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ht="16.5" customHeight="1">
      <c r="A168" s="16"/>
      <c r="B168" s="16"/>
      <c r="C168" s="16"/>
      <c r="D168" s="4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ht="16.5" customHeight="1">
      <c r="A169" s="16"/>
      <c r="B169" s="16"/>
      <c r="C169" s="16"/>
      <c r="D169" s="4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ht="16.5" customHeight="1">
      <c r="A170" s="16"/>
      <c r="B170" s="16"/>
      <c r="C170" s="16"/>
      <c r="D170" s="4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ht="16.5" customHeight="1">
      <c r="A171" s="16"/>
      <c r="B171" s="16"/>
      <c r="C171" s="16"/>
      <c r="D171" s="4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ht="16.5" customHeight="1">
      <c r="A172" s="16"/>
      <c r="B172" s="16"/>
      <c r="C172" s="16"/>
      <c r="D172" s="4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ht="16.5" customHeight="1">
      <c r="A173" s="16"/>
      <c r="B173" s="16"/>
      <c r="C173" s="16"/>
      <c r="D173" s="4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ht="16.5" customHeight="1">
      <c r="A174" s="16"/>
      <c r="B174" s="16"/>
      <c r="C174" s="16"/>
      <c r="D174" s="4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ht="16.5" customHeight="1">
      <c r="A175" s="16"/>
      <c r="B175" s="16"/>
      <c r="C175" s="16"/>
      <c r="D175" s="4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ht="16.5" customHeight="1">
      <c r="A176" s="16"/>
      <c r="B176" s="16"/>
      <c r="C176" s="16"/>
      <c r="D176" s="4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ht="16.5" customHeight="1">
      <c r="A177" s="16"/>
      <c r="B177" s="16"/>
      <c r="C177" s="16"/>
      <c r="D177" s="4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ht="16.5" customHeight="1">
      <c r="A178" s="16"/>
      <c r="B178" s="16"/>
      <c r="C178" s="16"/>
      <c r="D178" s="4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ht="16.5" customHeight="1">
      <c r="A179" s="16"/>
      <c r="B179" s="16"/>
      <c r="C179" s="16"/>
      <c r="D179" s="4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ht="16.5" customHeight="1">
      <c r="A180" s="16"/>
      <c r="B180" s="16"/>
      <c r="C180" s="16"/>
      <c r="D180" s="4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ht="16.5" customHeight="1">
      <c r="A181" s="16"/>
      <c r="B181" s="16"/>
      <c r="C181" s="16"/>
      <c r="D181" s="4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ht="16.5" customHeight="1">
      <c r="A182" s="16"/>
      <c r="B182" s="16"/>
      <c r="C182" s="16"/>
      <c r="D182" s="4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ht="16.5" customHeight="1">
      <c r="A183" s="16"/>
      <c r="B183" s="16"/>
      <c r="C183" s="16"/>
      <c r="D183" s="4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ht="16.5" customHeight="1">
      <c r="A184" s="16"/>
      <c r="B184" s="16"/>
      <c r="C184" s="16"/>
      <c r="D184" s="4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ht="16.5" customHeight="1">
      <c r="A185" s="16"/>
      <c r="B185" s="16"/>
      <c r="C185" s="16"/>
      <c r="D185" s="4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ht="16.5" customHeight="1">
      <c r="A186" s="16"/>
      <c r="B186" s="16"/>
      <c r="C186" s="16"/>
      <c r="D186" s="4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ht="16.5" customHeight="1">
      <c r="A187" s="16"/>
      <c r="B187" s="16"/>
      <c r="C187" s="16"/>
      <c r="D187" s="4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ht="16.5" customHeight="1">
      <c r="A188" s="16"/>
      <c r="B188" s="16"/>
      <c r="C188" s="16"/>
      <c r="D188" s="4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ht="16.5" customHeight="1">
      <c r="A189" s="16"/>
      <c r="B189" s="16"/>
      <c r="C189" s="16"/>
      <c r="D189" s="4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ht="16.5" customHeight="1">
      <c r="A190" s="16"/>
      <c r="B190" s="16"/>
      <c r="C190" s="16"/>
      <c r="D190" s="4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ht="16.5" customHeight="1">
      <c r="A191" s="16"/>
      <c r="B191" s="16"/>
      <c r="C191" s="16"/>
      <c r="D191" s="4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ht="16.5" customHeight="1">
      <c r="A192" s="16"/>
      <c r="B192" s="16"/>
      <c r="C192" s="16"/>
      <c r="D192" s="4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ht="16.5" customHeight="1">
      <c r="A193" s="16"/>
      <c r="B193" s="16"/>
      <c r="C193" s="16"/>
      <c r="D193" s="4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  <row r="194" ht="16.5" customHeight="1">
      <c r="A194" s="16"/>
      <c r="B194" s="16"/>
      <c r="C194" s="16"/>
      <c r="D194" s="4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</row>
  </sheetData>
  <mergeCells count="14">
    <mergeCell ref="B15:C15"/>
    <mergeCell ref="A12:F12"/>
    <mergeCell ref="A1:F1"/>
    <mergeCell ref="D2:E2"/>
    <mergeCell ref="B16:C16"/>
    <mergeCell ref="B17:C17"/>
    <mergeCell ref="B13:C13"/>
    <mergeCell ref="B14:C14"/>
    <mergeCell ref="A3:F3"/>
    <mergeCell ref="B5:D5"/>
    <mergeCell ref="B2:C2"/>
    <mergeCell ref="A18:F18"/>
    <mergeCell ref="B19:C19"/>
    <mergeCell ref="B20:C2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7.02734375" customWidth="1"/>
    <col min="2" max="2" width="22.3740234375" customWidth="1"/>
    <col min="3" max="3" width="24.6796875" customWidth="1"/>
    <col min="4" max="4" width="32.736328125" customWidth="1" style="14"/>
    <col min="5" max="5" width="30.3603515625"/>
    <col min="6" max="6" width="34.388671875" customWidth="1"/>
  </cols>
  <sheetData>
    <row r="1" ht="26.25" customHeight="1">
      <c r="A1" s="76" t="s">
        <v>0</v>
      </c>
      <c r="B1" s="71"/>
      <c r="C1" s="71"/>
      <c r="D1" s="23"/>
      <c r="E1" s="71"/>
      <c r="F1" s="86"/>
      <c r="G1" s="2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ht="17.25" customHeight="1">
      <c r="A2" s="93"/>
      <c r="B2" s="94" t="s">
        <v>65</v>
      </c>
      <c r="C2" s="95"/>
      <c r="D2" s="94" t="s">
        <v>2</v>
      </c>
      <c r="E2" s="95"/>
      <c r="F2" s="96"/>
      <c r="G2" s="2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ht="27.75" customHeight="1">
      <c r="A3" s="97" t="s">
        <v>3</v>
      </c>
      <c r="B3" s="98"/>
      <c r="C3" s="98"/>
      <c r="D3" s="104"/>
      <c r="E3" s="98"/>
      <c r="F3" s="99"/>
      <c r="G3" s="20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ht="27.75" customHeight="1">
      <c r="A4" s="77" t="s">
        <v>5</v>
      </c>
      <c r="B4" s="39" t="s">
        <v>6</v>
      </c>
      <c r="C4" s="39" t="s">
        <v>7</v>
      </c>
      <c r="D4" s="39" t="s">
        <v>8</v>
      </c>
      <c r="E4" s="39" t="s">
        <v>9</v>
      </c>
      <c r="F4" s="87" t="s">
        <v>10</v>
      </c>
      <c r="G4" s="20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ht="27.75" customHeight="1">
      <c r="A5" s="78" t="s">
        <v>11</v>
      </c>
      <c r="B5" s="7" t="n">
        <v>50460</v>
      </c>
      <c r="C5" s="6"/>
      <c r="D5" s="6"/>
      <c r="E5" s="46" t="s">
        <v>66</v>
      </c>
      <c r="F5" s="28"/>
      <c r="G5" s="45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27.75" customHeight="1">
      <c r="A6" s="79" t="s">
        <v>12</v>
      </c>
      <c r="B6" s="31" t="n">
        <v>6200</v>
      </c>
      <c r="C6" s="31" t="n">
        <v>4365</v>
      </c>
      <c r="D6" s="31" t="n">
        <f>SUM(B6,C6)</f>
        <v>10565</v>
      </c>
      <c r="E6" s="46" t="s">
        <v>67</v>
      </c>
      <c r="F6" s="89"/>
      <c r="G6" s="20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ht="27.75" customHeight="1">
      <c r="A7" s="80" t="s">
        <v>13</v>
      </c>
      <c r="B7" s="9" t="s">
        <v>14</v>
      </c>
      <c r="C7" s="9" t="s">
        <v>14</v>
      </c>
      <c r="D7" s="17" t="n">
        <f>D6/B5*100%</f>
        <v>0.209373761395164</v>
      </c>
      <c r="E7" s="55" t="s">
        <v>68</v>
      </c>
      <c r="F7" s="90"/>
      <c r="G7" s="2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ht="27.75" customHeight="1">
      <c r="A8" s="81" t="s">
        <v>15</v>
      </c>
      <c r="B8" s="15" t="n">
        <f>B9/B6</f>
        <v>17.4083870967742</v>
      </c>
      <c r="C8" s="15" t="n">
        <f>C9/C6</f>
        <v>20.5003436426117</v>
      </c>
      <c r="D8" s="15" t="n">
        <f>D9/D6</f>
        <v>18.6858495030762</v>
      </c>
      <c r="E8" s="55" t="s">
        <v>69</v>
      </c>
      <c r="F8" s="22"/>
      <c r="G8" s="2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ht="27.75" customHeight="1">
      <c r="A9" s="53" t="s">
        <v>16</v>
      </c>
      <c r="B9" s="54" t="n">
        <v>107932</v>
      </c>
      <c r="C9" s="54" t="n">
        <v>89484</v>
      </c>
      <c r="D9" s="54" t="n">
        <f>SUM(B9,C9)</f>
        <v>197416</v>
      </c>
      <c r="E9" s="46" t="s">
        <v>70</v>
      </c>
      <c r="F9" s="56"/>
      <c r="G9" s="2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ht="27.75" customHeight="1">
      <c r="A10" s="27" t="s">
        <v>17</v>
      </c>
      <c r="B10" s="65" t="n">
        <v>0.271</v>
      </c>
      <c r="C10" s="27"/>
      <c r="D10" s="27"/>
      <c r="E10" s="25" t="s">
        <v>71</v>
      </c>
      <c r="F10" s="52" t="s">
        <v>64</v>
      </c>
      <c r="G10" s="2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27.75" customHeight="1">
      <c r="A11" s="101"/>
      <c r="B11" s="102"/>
      <c r="C11" s="102"/>
      <c r="D11" s="26"/>
      <c r="E11" s="102"/>
      <c r="F11" s="103"/>
      <c r="G11" s="2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ht="27.75" customHeight="1">
      <c r="A12" s="97" t="s">
        <v>18</v>
      </c>
      <c r="B12" s="104"/>
      <c r="C12" s="104"/>
      <c r="D12" s="104"/>
      <c r="E12" s="104"/>
      <c r="F12" s="105"/>
      <c r="G12" s="20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ht="27.75" customHeight="1">
      <c r="A13" s="82" t="s">
        <v>19</v>
      </c>
      <c r="B13" s="37" t="s">
        <v>20</v>
      </c>
      <c r="C13" s="38"/>
      <c r="D13" s="39" t="s">
        <v>21</v>
      </c>
      <c r="E13" s="39" t="s">
        <v>22</v>
      </c>
      <c r="F13" s="87" t="s">
        <v>10</v>
      </c>
      <c r="G13" s="20"/>
      <c r="H13" s="20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61.916666666666664" customHeight="1">
      <c r="A14" s="48" t="s">
        <v>23</v>
      </c>
      <c r="B14" s="68" t="s">
        <v>24</v>
      </c>
      <c r="C14" s="47"/>
      <c r="D14" s="29" t="s">
        <v>72</v>
      </c>
      <c r="E14" s="44"/>
      <c r="F14" s="18"/>
      <c r="G14" s="20"/>
      <c r="H14" s="20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ht="41.25" customHeight="1">
      <c r="A15" s="48" t="s">
        <v>41</v>
      </c>
      <c r="B15" s="68" t="s">
        <v>42</v>
      </c>
      <c r="C15" s="47"/>
      <c r="D15" s="33"/>
      <c r="E15" s="29"/>
      <c r="F15" s="11" t="s">
        <v>44</v>
      </c>
      <c r="G15" s="20"/>
      <c r="H15" s="20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ht="54.75" customHeight="1">
      <c r="A16" s="48" t="s">
        <v>26</v>
      </c>
      <c r="B16" s="68" t="s">
        <v>45</v>
      </c>
      <c r="C16" s="47"/>
      <c r="D16" s="33"/>
      <c r="E16" s="5"/>
      <c r="F16" s="11" t="s">
        <v>47</v>
      </c>
      <c r="G16" s="20"/>
      <c r="H16" s="20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ht="27.75" customHeight="1">
      <c r="A17" s="43"/>
      <c r="B17" s="50"/>
      <c r="C17" s="51"/>
      <c r="D17" s="74"/>
      <c r="E17" s="75"/>
      <c r="F17" s="92"/>
      <c r="G17" s="20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ht="16.5" customHeight="1">
      <c r="A18" s="16"/>
      <c r="B18" s="16"/>
      <c r="C18" s="16"/>
      <c r="D18" s="30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ht="16.5" customHeight="1">
      <c r="A19" s="16"/>
      <c r="B19" s="16"/>
      <c r="C19" s="16"/>
      <c r="D19" s="30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ht="16.5" customHeight="1">
      <c r="A20" s="16"/>
      <c r="B20" s="16"/>
      <c r="C20" s="16"/>
      <c r="D20" s="49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ht="16.5" customHeight="1">
      <c r="A21" s="16"/>
      <c r="B21" s="16"/>
      <c r="C21" s="16"/>
      <c r="D21" s="49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ht="16.5" customHeight="1">
      <c r="A22" s="16"/>
      <c r="B22" s="16"/>
      <c r="C22" s="16"/>
      <c r="D22" s="49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ht="16.5" customHeight="1">
      <c r="A23" s="16"/>
      <c r="B23" s="16"/>
      <c r="C23" s="16"/>
      <c r="D23" s="4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ht="16.5" customHeight="1">
      <c r="A24" s="16"/>
      <c r="B24" s="16"/>
      <c r="C24" s="16"/>
      <c r="D24" s="4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ht="16.5" customHeight="1">
      <c r="A25" s="16"/>
      <c r="B25" s="16"/>
      <c r="C25" s="16"/>
      <c r="D25" s="4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ht="16.5" customHeight="1">
      <c r="A26" s="16"/>
      <c r="B26" s="16"/>
      <c r="C26" s="16"/>
      <c r="D26" s="4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ht="16.5" customHeight="1">
      <c r="A27" s="16"/>
      <c r="B27" s="16"/>
      <c r="C27" s="16"/>
      <c r="D27" s="4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ht="16.5" customHeight="1">
      <c r="A28" s="16"/>
      <c r="B28" s="16"/>
      <c r="C28" s="16"/>
      <c r="D28" s="4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ht="16.5" customHeight="1">
      <c r="A29" s="16"/>
      <c r="B29" s="16"/>
      <c r="C29" s="16"/>
      <c r="D29" s="4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ht="16.5" customHeight="1">
      <c r="A30" s="16"/>
      <c r="B30" s="16"/>
      <c r="C30" s="16"/>
      <c r="D30" s="4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ht="16.5" customHeight="1">
      <c r="A31" s="16"/>
      <c r="B31" s="16"/>
      <c r="C31" s="16"/>
      <c r="D31" s="4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ht="16.5" customHeight="1">
      <c r="A32" s="16"/>
      <c r="B32" s="16"/>
      <c r="C32" s="16"/>
      <c r="D32" s="4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ht="16.5" customHeight="1">
      <c r="A33" s="16"/>
      <c r="B33" s="16"/>
      <c r="C33" s="16"/>
      <c r="D33" s="4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ht="16.5" customHeight="1">
      <c r="A34" s="16"/>
      <c r="B34" s="16"/>
      <c r="C34" s="16"/>
      <c r="D34" s="4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ht="16.5" customHeight="1">
      <c r="A35" s="16"/>
      <c r="B35" s="16"/>
      <c r="C35" s="16"/>
      <c r="D35" s="4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ht="16.5" customHeight="1">
      <c r="A36" s="16"/>
      <c r="B36" s="16"/>
      <c r="C36" s="16"/>
      <c r="D36" s="4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ht="16.5" customHeight="1">
      <c r="A37" s="16"/>
      <c r="B37" s="16"/>
      <c r="C37" s="16"/>
      <c r="D37" s="4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ht="16.5" customHeight="1">
      <c r="A38" s="16"/>
      <c r="B38" s="16"/>
      <c r="C38" s="16"/>
      <c r="D38" s="4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ht="16.5" customHeight="1">
      <c r="A39" s="16"/>
      <c r="B39" s="16"/>
      <c r="C39" s="16"/>
      <c r="D39" s="4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ht="16.5" customHeight="1">
      <c r="A40" s="16"/>
      <c r="B40" s="16"/>
      <c r="C40" s="16"/>
      <c r="D40" s="4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ht="16.5" customHeight="1">
      <c r="A41" s="16"/>
      <c r="B41" s="16"/>
      <c r="C41" s="16"/>
      <c r="D41" s="4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ht="16.5" customHeight="1">
      <c r="A42" s="16"/>
      <c r="B42" s="16"/>
      <c r="C42" s="16"/>
      <c r="D42" s="4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ht="16.5" customHeight="1">
      <c r="A43" s="16"/>
      <c r="B43" s="16"/>
      <c r="C43" s="16"/>
      <c r="D43" s="4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ht="16.5" customHeight="1">
      <c r="A44" s="16"/>
      <c r="B44" s="16"/>
      <c r="C44" s="16"/>
      <c r="D44" s="4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ht="16.5" customHeight="1">
      <c r="A45" s="16"/>
      <c r="B45" s="16"/>
      <c r="C45" s="16"/>
      <c r="D45" s="4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ht="16.5" customHeight="1">
      <c r="A46" s="16"/>
      <c r="B46" s="16"/>
      <c r="C46" s="16"/>
      <c r="D46" s="4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ht="16.5" customHeight="1">
      <c r="A47" s="16"/>
      <c r="B47" s="16"/>
      <c r="C47" s="16"/>
      <c r="D47" s="4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ht="16.5" customHeight="1">
      <c r="A48" s="16"/>
      <c r="B48" s="16"/>
      <c r="C48" s="16"/>
      <c r="D48" s="4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ht="16.5" customHeight="1">
      <c r="A49" s="16"/>
      <c r="B49" s="16"/>
      <c r="C49" s="16"/>
      <c r="D49" s="4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ht="16.5" customHeight="1">
      <c r="A50" s="16"/>
      <c r="B50" s="16"/>
      <c r="C50" s="16"/>
      <c r="D50" s="4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ht="16.5" customHeight="1">
      <c r="A51" s="16"/>
      <c r="B51" s="16"/>
      <c r="C51" s="16"/>
      <c r="D51" s="4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ht="16.5" customHeight="1">
      <c r="A52" s="16"/>
      <c r="B52" s="16"/>
      <c r="C52" s="16"/>
      <c r="D52" s="4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ht="16.5" customHeight="1">
      <c r="A53" s="16"/>
      <c r="B53" s="16"/>
      <c r="C53" s="16"/>
      <c r="D53" s="4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ht="16.5" customHeight="1">
      <c r="A54" s="16"/>
      <c r="B54" s="16"/>
      <c r="C54" s="16"/>
      <c r="D54" s="4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ht="16.5" customHeight="1">
      <c r="A55" s="16"/>
      <c r="B55" s="16"/>
      <c r="C55" s="16"/>
      <c r="D55" s="4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ht="16.5" customHeight="1">
      <c r="A56" s="16"/>
      <c r="B56" s="16"/>
      <c r="C56" s="16"/>
      <c r="D56" s="4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ht="16.5" customHeight="1">
      <c r="A57" s="16"/>
      <c r="B57" s="16"/>
      <c r="C57" s="16"/>
      <c r="D57" s="4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ht="16.5" customHeight="1">
      <c r="A58" s="16"/>
      <c r="B58" s="16"/>
      <c r="C58" s="16"/>
      <c r="D58" s="4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ht="16.5" customHeight="1">
      <c r="A59" s="16"/>
      <c r="B59" s="16"/>
      <c r="C59" s="16"/>
      <c r="D59" s="4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ht="16.5" customHeight="1">
      <c r="A60" s="16"/>
      <c r="B60" s="16"/>
      <c r="C60" s="16"/>
      <c r="D60" s="4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ht="16.5" customHeight="1">
      <c r="A61" s="16"/>
      <c r="B61" s="16"/>
      <c r="C61" s="16"/>
      <c r="D61" s="4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ht="16.5" customHeight="1">
      <c r="A62" s="16"/>
      <c r="B62" s="16"/>
      <c r="C62" s="16"/>
      <c r="D62" s="4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ht="16.5" customHeight="1">
      <c r="A63" s="16"/>
      <c r="B63" s="16"/>
      <c r="C63" s="16"/>
      <c r="D63" s="4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ht="16.5" customHeight="1">
      <c r="A64" s="16"/>
      <c r="B64" s="16"/>
      <c r="C64" s="16"/>
      <c r="D64" s="4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ht="16.5" customHeight="1">
      <c r="A65" s="16"/>
      <c r="B65" s="16"/>
      <c r="C65" s="16"/>
      <c r="D65" s="4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ht="16.5" customHeight="1">
      <c r="A66" s="16"/>
      <c r="B66" s="16"/>
      <c r="C66" s="16"/>
      <c r="D66" s="4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ht="16.5" customHeight="1">
      <c r="A67" s="16"/>
      <c r="B67" s="16"/>
      <c r="C67" s="16"/>
      <c r="D67" s="4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ht="16.5" customHeight="1">
      <c r="A68" s="16"/>
      <c r="B68" s="16"/>
      <c r="C68" s="16"/>
      <c r="D68" s="4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ht="16.5" customHeight="1">
      <c r="A69" s="16"/>
      <c r="B69" s="16"/>
      <c r="C69" s="16"/>
      <c r="D69" s="4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ht="16.5" customHeight="1">
      <c r="A70" s="16"/>
      <c r="B70" s="16"/>
      <c r="C70" s="16"/>
      <c r="D70" s="4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ht="16.5" customHeight="1">
      <c r="A71" s="16"/>
      <c r="B71" s="16"/>
      <c r="C71" s="16"/>
      <c r="D71" s="4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ht="16.5" customHeight="1">
      <c r="A72" s="16"/>
      <c r="B72" s="16"/>
      <c r="C72" s="16"/>
      <c r="D72" s="4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ht="16.5" customHeight="1">
      <c r="A73" s="16"/>
      <c r="B73" s="16"/>
      <c r="C73" s="16"/>
      <c r="D73" s="4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ht="16.5" customHeight="1">
      <c r="A74" s="16"/>
      <c r="B74" s="16"/>
      <c r="C74" s="16"/>
      <c r="D74" s="4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ht="16.5" customHeight="1">
      <c r="A75" s="16"/>
      <c r="B75" s="16"/>
      <c r="C75" s="16"/>
      <c r="D75" s="4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ht="16.5" customHeight="1">
      <c r="A76" s="16"/>
      <c r="B76" s="16"/>
      <c r="C76" s="16"/>
      <c r="D76" s="4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ht="16.5" customHeight="1">
      <c r="A77" s="16"/>
      <c r="B77" s="16"/>
      <c r="C77" s="16"/>
      <c r="D77" s="4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ht="16.5" customHeight="1">
      <c r="A78" s="16"/>
      <c r="B78" s="16"/>
      <c r="C78" s="16"/>
      <c r="D78" s="4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ht="16.5" customHeight="1">
      <c r="A79" s="16"/>
      <c r="B79" s="16"/>
      <c r="C79" s="16"/>
      <c r="D79" s="4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ht="16.5" customHeight="1">
      <c r="A80" s="16"/>
      <c r="B80" s="16"/>
      <c r="C80" s="16"/>
      <c r="D80" s="4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ht="16.5" customHeight="1">
      <c r="A81" s="16"/>
      <c r="B81" s="16"/>
      <c r="C81" s="16"/>
      <c r="D81" s="4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ht="16.5" customHeight="1">
      <c r="A82" s="16"/>
      <c r="B82" s="16"/>
      <c r="C82" s="16"/>
      <c r="D82" s="4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ht="16.5" customHeight="1">
      <c r="A83" s="16"/>
      <c r="B83" s="16"/>
      <c r="C83" s="16"/>
      <c r="D83" s="4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ht="16.5" customHeight="1">
      <c r="A84" s="16"/>
      <c r="B84" s="16"/>
      <c r="C84" s="16"/>
      <c r="D84" s="4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ht="16.5" customHeight="1">
      <c r="A85" s="16"/>
      <c r="B85" s="16"/>
      <c r="C85" s="16"/>
      <c r="D85" s="4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ht="16.5" customHeight="1">
      <c r="A86" s="16"/>
      <c r="B86" s="16"/>
      <c r="C86" s="16"/>
      <c r="D86" s="4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ht="16.5" customHeight="1">
      <c r="A87" s="16"/>
      <c r="B87" s="16"/>
      <c r="C87" s="16"/>
      <c r="D87" s="4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ht="16.5" customHeight="1">
      <c r="A88" s="16"/>
      <c r="B88" s="16"/>
      <c r="C88" s="16"/>
      <c r="D88" s="4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ht="16.5" customHeight="1">
      <c r="A89" s="16"/>
      <c r="B89" s="16"/>
      <c r="C89" s="16"/>
      <c r="D89" s="4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ht="16.5" customHeight="1">
      <c r="A90" s="16"/>
      <c r="B90" s="16"/>
      <c r="C90" s="16"/>
      <c r="D90" s="4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ht="16.5" customHeight="1">
      <c r="A91" s="16"/>
      <c r="B91" s="16"/>
      <c r="C91" s="16"/>
      <c r="D91" s="4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ht="16.5" customHeight="1">
      <c r="A92" s="16"/>
      <c r="B92" s="16"/>
      <c r="C92" s="16"/>
      <c r="D92" s="4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ht="16.5" customHeight="1">
      <c r="A93" s="16"/>
      <c r="B93" s="16"/>
      <c r="C93" s="16"/>
      <c r="D93" s="4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ht="16.5" customHeight="1">
      <c r="A94" s="16"/>
      <c r="B94" s="16"/>
      <c r="C94" s="16"/>
      <c r="D94" s="4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ht="16.5" customHeight="1">
      <c r="A95" s="16"/>
      <c r="B95" s="16"/>
      <c r="C95" s="16"/>
      <c r="D95" s="4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ht="16.5" customHeight="1">
      <c r="A96" s="16"/>
      <c r="B96" s="16"/>
      <c r="C96" s="16"/>
      <c r="D96" s="4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ht="16.5" customHeight="1">
      <c r="A97" s="16"/>
      <c r="B97" s="16"/>
      <c r="C97" s="16"/>
      <c r="D97" s="4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ht="16.5" customHeight="1">
      <c r="A98" s="16"/>
      <c r="B98" s="16"/>
      <c r="C98" s="16"/>
      <c r="D98" s="4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ht="16.5" customHeight="1">
      <c r="A99" s="16"/>
      <c r="B99" s="16"/>
      <c r="C99" s="16"/>
      <c r="D99" s="4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ht="16.5" customHeight="1">
      <c r="A100" s="16"/>
      <c r="B100" s="16"/>
      <c r="C100" s="16"/>
      <c r="D100" s="4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ht="16.5" customHeight="1">
      <c r="A101" s="16"/>
      <c r="B101" s="16"/>
      <c r="C101" s="16"/>
      <c r="D101" s="4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ht="16.5" customHeight="1">
      <c r="A102" s="16"/>
      <c r="B102" s="16"/>
      <c r="C102" s="16"/>
      <c r="D102" s="4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ht="16.5" customHeight="1">
      <c r="A103" s="16"/>
      <c r="B103" s="16"/>
      <c r="C103" s="16"/>
      <c r="D103" s="4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ht="16.5" customHeight="1">
      <c r="A104" s="16"/>
      <c r="B104" s="16"/>
      <c r="C104" s="16"/>
      <c r="D104" s="4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ht="16.5" customHeight="1">
      <c r="A105" s="16"/>
      <c r="B105" s="16"/>
      <c r="C105" s="16"/>
      <c r="D105" s="4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ht="16.5" customHeight="1">
      <c r="A106" s="16"/>
      <c r="B106" s="16"/>
      <c r="C106" s="16"/>
      <c r="D106" s="4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ht="16.5" customHeight="1">
      <c r="A107" s="16"/>
      <c r="B107" s="16"/>
      <c r="C107" s="16"/>
      <c r="D107" s="4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ht="16.5" customHeight="1">
      <c r="A108" s="16"/>
      <c r="B108" s="16"/>
      <c r="C108" s="16"/>
      <c r="D108" s="4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ht="16.5" customHeight="1">
      <c r="A109" s="16"/>
      <c r="B109" s="16"/>
      <c r="C109" s="16"/>
      <c r="D109" s="4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ht="16.5" customHeight="1">
      <c r="A110" s="16"/>
      <c r="B110" s="16"/>
      <c r="C110" s="16"/>
      <c r="D110" s="4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ht="16.5" customHeight="1">
      <c r="A111" s="16"/>
      <c r="B111" s="16"/>
      <c r="C111" s="16"/>
      <c r="D111" s="4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ht="16.5" customHeight="1">
      <c r="A112" s="16"/>
      <c r="B112" s="16"/>
      <c r="C112" s="16"/>
      <c r="D112" s="4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ht="16.5" customHeight="1">
      <c r="A113" s="16"/>
      <c r="B113" s="16"/>
      <c r="C113" s="16"/>
      <c r="D113" s="4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ht="16.5" customHeight="1">
      <c r="A114" s="16"/>
      <c r="B114" s="16"/>
      <c r="C114" s="16"/>
      <c r="D114" s="4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ht="16.5" customHeight="1">
      <c r="A115" s="16"/>
      <c r="B115" s="16"/>
      <c r="C115" s="16"/>
      <c r="D115" s="4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ht="16.5" customHeight="1">
      <c r="A116" s="16"/>
      <c r="B116" s="16"/>
      <c r="C116" s="16"/>
      <c r="D116" s="4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ht="16.5" customHeight="1">
      <c r="A117" s="16"/>
      <c r="B117" s="16"/>
      <c r="C117" s="16"/>
      <c r="D117" s="4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ht="16.5" customHeight="1">
      <c r="A118" s="16"/>
      <c r="B118" s="16"/>
      <c r="C118" s="16"/>
      <c r="D118" s="4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ht="16.5" customHeight="1">
      <c r="A119" s="16"/>
      <c r="B119" s="16"/>
      <c r="C119" s="16"/>
      <c r="D119" s="4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ht="16.5" customHeight="1">
      <c r="A120" s="16"/>
      <c r="B120" s="16"/>
      <c r="C120" s="16"/>
      <c r="D120" s="4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ht="16.5" customHeight="1">
      <c r="A121" s="16"/>
      <c r="B121" s="16"/>
      <c r="C121" s="16"/>
      <c r="D121" s="4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ht="16.5" customHeight="1">
      <c r="A122" s="16"/>
      <c r="B122" s="16"/>
      <c r="C122" s="16"/>
      <c r="D122" s="4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ht="16.5" customHeight="1">
      <c r="A123" s="16"/>
      <c r="B123" s="16"/>
      <c r="C123" s="16"/>
      <c r="D123" s="4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ht="16.5" customHeight="1">
      <c r="A124" s="16"/>
      <c r="B124" s="16"/>
      <c r="C124" s="16"/>
      <c r="D124" s="4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ht="16.5" customHeight="1">
      <c r="A125" s="16"/>
      <c r="B125" s="16"/>
      <c r="C125" s="16"/>
      <c r="D125" s="4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ht="16.5" customHeight="1">
      <c r="A126" s="16"/>
      <c r="B126" s="16"/>
      <c r="C126" s="16"/>
      <c r="D126" s="4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ht="16.5" customHeight="1">
      <c r="A127" s="16"/>
      <c r="B127" s="16"/>
      <c r="C127" s="16"/>
      <c r="D127" s="4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ht="16.5" customHeight="1">
      <c r="A128" s="16"/>
      <c r="B128" s="16"/>
      <c r="C128" s="16"/>
      <c r="D128" s="4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ht="16.5" customHeight="1">
      <c r="A129" s="16"/>
      <c r="B129" s="16"/>
      <c r="C129" s="16"/>
      <c r="D129" s="4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ht="16.5" customHeight="1">
      <c r="A130" s="16"/>
      <c r="B130" s="16"/>
      <c r="C130" s="16"/>
      <c r="D130" s="4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ht="16.5" customHeight="1">
      <c r="A131" s="16"/>
      <c r="B131" s="16"/>
      <c r="C131" s="16"/>
      <c r="D131" s="4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ht="16.5" customHeight="1">
      <c r="A132" s="16"/>
      <c r="B132" s="16"/>
      <c r="C132" s="16"/>
      <c r="D132" s="4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ht="16.5" customHeight="1">
      <c r="A133" s="16"/>
      <c r="B133" s="16"/>
      <c r="C133" s="16"/>
      <c r="D133" s="4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ht="16.5" customHeight="1">
      <c r="A134" s="16"/>
      <c r="B134" s="16"/>
      <c r="C134" s="16"/>
      <c r="D134" s="4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ht="16.5" customHeight="1">
      <c r="A135" s="16"/>
      <c r="B135" s="16"/>
      <c r="C135" s="16"/>
      <c r="D135" s="4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ht="16.5" customHeight="1">
      <c r="A136" s="16"/>
      <c r="B136" s="16"/>
      <c r="C136" s="16"/>
      <c r="D136" s="4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ht="16.5" customHeight="1">
      <c r="A137" s="16"/>
      <c r="B137" s="16"/>
      <c r="C137" s="16"/>
      <c r="D137" s="4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ht="16.5" customHeight="1">
      <c r="A138" s="16"/>
      <c r="B138" s="16"/>
      <c r="C138" s="16"/>
      <c r="D138" s="4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ht="16.5" customHeight="1">
      <c r="A139" s="16"/>
      <c r="B139" s="16"/>
      <c r="C139" s="16"/>
      <c r="D139" s="4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ht="16.5" customHeight="1">
      <c r="A140" s="16"/>
      <c r="B140" s="16"/>
      <c r="C140" s="16"/>
      <c r="D140" s="4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ht="16.5" customHeight="1">
      <c r="A141" s="16"/>
      <c r="B141" s="16"/>
      <c r="C141" s="16"/>
      <c r="D141" s="4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ht="16.5" customHeight="1">
      <c r="A142" s="16"/>
      <c r="B142" s="16"/>
      <c r="C142" s="16"/>
      <c r="D142" s="4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ht="16.5" customHeight="1">
      <c r="A143" s="16"/>
      <c r="B143" s="16"/>
      <c r="C143" s="16"/>
      <c r="D143" s="4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ht="16.5" customHeight="1">
      <c r="A144" s="16"/>
      <c r="B144" s="16"/>
      <c r="C144" s="16"/>
      <c r="D144" s="4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ht="16.5" customHeight="1">
      <c r="A145" s="16"/>
      <c r="B145" s="16"/>
      <c r="C145" s="16"/>
      <c r="D145" s="4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ht="16.5" customHeight="1">
      <c r="A146" s="16"/>
      <c r="B146" s="16"/>
      <c r="C146" s="16"/>
      <c r="D146" s="4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ht="16.5" customHeight="1">
      <c r="A147" s="16"/>
      <c r="B147" s="16"/>
      <c r="C147" s="16"/>
      <c r="D147" s="4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ht="16.5" customHeight="1">
      <c r="A148" s="16"/>
      <c r="B148" s="16"/>
      <c r="C148" s="16"/>
      <c r="D148" s="4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ht="16.5" customHeight="1">
      <c r="A149" s="16"/>
      <c r="B149" s="16"/>
      <c r="C149" s="16"/>
      <c r="D149" s="4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ht="16.5" customHeight="1">
      <c r="A150" s="16"/>
      <c r="B150" s="16"/>
      <c r="C150" s="16"/>
      <c r="D150" s="4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ht="16.5" customHeight="1">
      <c r="A151" s="16"/>
      <c r="B151" s="16"/>
      <c r="C151" s="16"/>
      <c r="D151" s="4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ht="16.5" customHeight="1">
      <c r="A152" s="16"/>
      <c r="B152" s="16"/>
      <c r="C152" s="16"/>
      <c r="D152" s="4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ht="16.5" customHeight="1">
      <c r="A153" s="16"/>
      <c r="B153" s="16"/>
      <c r="C153" s="16"/>
      <c r="D153" s="4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ht="16.5" customHeight="1">
      <c r="A154" s="16"/>
      <c r="B154" s="16"/>
      <c r="C154" s="16"/>
      <c r="D154" s="4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ht="16.5" customHeight="1">
      <c r="A155" s="16"/>
      <c r="B155" s="16"/>
      <c r="C155" s="16"/>
      <c r="D155" s="4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ht="16.5" customHeight="1">
      <c r="A156" s="16"/>
      <c r="B156" s="16"/>
      <c r="C156" s="16"/>
      <c r="D156" s="4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ht="16.5" customHeight="1">
      <c r="A157" s="16"/>
      <c r="B157" s="16"/>
      <c r="C157" s="16"/>
      <c r="D157" s="4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ht="16.5" customHeight="1">
      <c r="A158" s="16"/>
      <c r="B158" s="16"/>
      <c r="C158" s="16"/>
      <c r="D158" s="4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ht="16.5" customHeight="1">
      <c r="A159" s="16"/>
      <c r="B159" s="16"/>
      <c r="C159" s="16"/>
      <c r="D159" s="4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ht="16.5" customHeight="1">
      <c r="A160" s="16"/>
      <c r="B160" s="16"/>
      <c r="C160" s="16"/>
      <c r="D160" s="4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ht="16.5" customHeight="1">
      <c r="A161" s="16"/>
      <c r="B161" s="16"/>
      <c r="C161" s="16"/>
      <c r="D161" s="4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ht="16.5" customHeight="1">
      <c r="A162" s="16"/>
      <c r="B162" s="16"/>
      <c r="C162" s="16"/>
      <c r="D162" s="4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ht="16.5" customHeight="1">
      <c r="A163" s="16"/>
      <c r="B163" s="16"/>
      <c r="C163" s="16"/>
      <c r="D163" s="4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ht="16.5" customHeight="1">
      <c r="A164" s="16"/>
      <c r="B164" s="16"/>
      <c r="C164" s="16"/>
      <c r="D164" s="4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ht="16.5" customHeight="1">
      <c r="A165" s="16"/>
      <c r="B165" s="16"/>
      <c r="C165" s="16"/>
      <c r="D165" s="4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ht="16.5" customHeight="1">
      <c r="A166" s="16"/>
      <c r="B166" s="16"/>
      <c r="C166" s="16"/>
      <c r="D166" s="4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ht="16.5" customHeight="1">
      <c r="A167" s="16"/>
      <c r="B167" s="16"/>
      <c r="C167" s="16"/>
      <c r="D167" s="4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ht="16.5" customHeight="1">
      <c r="A168" s="16"/>
      <c r="B168" s="16"/>
      <c r="C168" s="16"/>
      <c r="D168" s="4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ht="16.5" customHeight="1">
      <c r="A169" s="16"/>
      <c r="B169" s="16"/>
      <c r="C169" s="16"/>
      <c r="D169" s="4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ht="16.5" customHeight="1">
      <c r="A170" s="16"/>
      <c r="B170" s="16"/>
      <c r="C170" s="16"/>
      <c r="D170" s="4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ht="16.5" customHeight="1">
      <c r="A171" s="16"/>
      <c r="B171" s="16"/>
      <c r="C171" s="16"/>
      <c r="D171" s="4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ht="16.5" customHeight="1">
      <c r="A172" s="16"/>
      <c r="B172" s="16"/>
      <c r="C172" s="16"/>
      <c r="D172" s="4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ht="16.5" customHeight="1">
      <c r="A173" s="16"/>
      <c r="B173" s="16"/>
      <c r="C173" s="16"/>
      <c r="D173" s="4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ht="16.5" customHeight="1">
      <c r="A174" s="16"/>
      <c r="B174" s="16"/>
      <c r="C174" s="16"/>
      <c r="D174" s="4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ht="16.5" customHeight="1">
      <c r="A175" s="16"/>
      <c r="B175" s="16"/>
      <c r="C175" s="16"/>
      <c r="D175" s="4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ht="16.5" customHeight="1">
      <c r="A176" s="16"/>
      <c r="B176" s="16"/>
      <c r="C176" s="16"/>
      <c r="D176" s="4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ht="16.5" customHeight="1">
      <c r="A177" s="16"/>
      <c r="B177" s="16"/>
      <c r="C177" s="16"/>
      <c r="D177" s="4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ht="16.5" customHeight="1">
      <c r="A178" s="16"/>
      <c r="B178" s="16"/>
      <c r="C178" s="16"/>
      <c r="D178" s="4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ht="16.5" customHeight="1">
      <c r="A179" s="16"/>
      <c r="B179" s="16"/>
      <c r="C179" s="16"/>
      <c r="D179" s="4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ht="16.5" customHeight="1">
      <c r="A180" s="16"/>
      <c r="B180" s="16"/>
      <c r="C180" s="16"/>
      <c r="D180" s="4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ht="16.5" customHeight="1">
      <c r="A181" s="16"/>
      <c r="B181" s="16"/>
      <c r="C181" s="16"/>
      <c r="D181" s="4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ht="16.5" customHeight="1">
      <c r="A182" s="16"/>
      <c r="B182" s="16"/>
      <c r="C182" s="16"/>
      <c r="D182" s="4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ht="16.5" customHeight="1">
      <c r="A183" s="16"/>
      <c r="B183" s="16"/>
      <c r="C183" s="16"/>
      <c r="D183" s="4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ht="16.5" customHeight="1">
      <c r="A184" s="16"/>
      <c r="B184" s="16"/>
      <c r="C184" s="16"/>
      <c r="D184" s="4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ht="16.5" customHeight="1">
      <c r="A185" s="16"/>
      <c r="B185" s="16"/>
      <c r="C185" s="16"/>
      <c r="D185" s="4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ht="16.5" customHeight="1">
      <c r="A186" s="16"/>
      <c r="B186" s="16"/>
      <c r="C186" s="16"/>
      <c r="D186" s="4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ht="16.5" customHeight="1">
      <c r="A187" s="16"/>
      <c r="B187" s="16"/>
      <c r="C187" s="16"/>
      <c r="D187" s="4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ht="16.5" customHeight="1">
      <c r="A188" s="16"/>
      <c r="B188" s="16"/>
      <c r="C188" s="16"/>
      <c r="D188" s="4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ht="16.5" customHeight="1">
      <c r="A189" s="16"/>
      <c r="B189" s="16"/>
      <c r="C189" s="16"/>
      <c r="D189" s="4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ht="16.5" customHeight="1">
      <c r="A190" s="16"/>
      <c r="B190" s="16"/>
      <c r="C190" s="16"/>
      <c r="D190" s="4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ht="16.5" customHeight="1">
      <c r="A191" s="16"/>
      <c r="B191" s="16"/>
      <c r="C191" s="16"/>
      <c r="D191" s="4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ht="16.5" customHeight="1">
      <c r="A192" s="16"/>
      <c r="B192" s="16"/>
      <c r="C192" s="16"/>
      <c r="D192" s="4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ht="16.5" customHeight="1">
      <c r="A193" s="16"/>
      <c r="B193" s="16"/>
      <c r="C193" s="16"/>
      <c r="D193" s="4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  <row r="194" ht="16.5" customHeight="1">
      <c r="A194" s="16"/>
      <c r="B194" s="16"/>
      <c r="C194" s="16"/>
      <c r="D194" s="4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</row>
  </sheetData>
  <mergeCells count="11">
    <mergeCell ref="B15:C15"/>
    <mergeCell ref="A12:F12"/>
    <mergeCell ref="D2:E2"/>
    <mergeCell ref="B16:C16"/>
    <mergeCell ref="B17:C17"/>
    <mergeCell ref="B13:C13"/>
    <mergeCell ref="B14:C14"/>
    <mergeCell ref="A3:F3"/>
    <mergeCell ref="B5:D5"/>
    <mergeCell ref="B2:C2"/>
    <mergeCell ref="A1:F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7.02734375" customWidth="1"/>
    <col min="2" max="2" width="22.3740234375" customWidth="1"/>
    <col min="3" max="3" width="24.6796875" customWidth="1"/>
    <col min="4" max="4" width="32.736328125" customWidth="1" style="14"/>
    <col min="5" max="5" width="30.3603515625"/>
    <col min="6" max="6" width="34.388671875" customWidth="1"/>
  </cols>
  <sheetData>
    <row r="1" ht="26.25" customHeight="1">
      <c r="A1" s="76" t="s">
        <v>0</v>
      </c>
      <c r="B1" s="71"/>
      <c r="C1" s="71"/>
      <c r="D1" s="23"/>
      <c r="E1" s="71"/>
      <c r="F1" s="86"/>
      <c r="G1" s="2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ht="17.25" customHeight="1">
      <c r="A2" s="93"/>
      <c r="B2" s="94" t="s">
        <v>73</v>
      </c>
      <c r="C2" s="95"/>
      <c r="D2" s="94" t="s">
        <v>2</v>
      </c>
      <c r="E2" s="95"/>
      <c r="F2" s="96"/>
      <c r="G2" s="2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ht="27.75" customHeight="1">
      <c r="A3" s="97" t="s">
        <v>3</v>
      </c>
      <c r="B3" s="98"/>
      <c r="C3" s="98"/>
      <c r="D3" s="104"/>
      <c r="E3" s="98"/>
      <c r="F3" s="99"/>
      <c r="G3" s="20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ht="27.75" customHeight="1">
      <c r="A4" s="77" t="s">
        <v>5</v>
      </c>
      <c r="B4" s="39" t="s">
        <v>6</v>
      </c>
      <c r="C4" s="39" t="s">
        <v>7</v>
      </c>
      <c r="D4" s="39" t="s">
        <v>8</v>
      </c>
      <c r="E4" s="39" t="s">
        <v>9</v>
      </c>
      <c r="F4" s="87" t="s">
        <v>10</v>
      </c>
      <c r="G4" s="20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ht="27.75" customHeight="1">
      <c r="A5" s="78" t="s">
        <v>11</v>
      </c>
      <c r="B5" s="7" t="n">
        <v>112938</v>
      </c>
      <c r="C5" s="6"/>
      <c r="D5" s="6"/>
      <c r="E5" s="10" t="s">
        <v>74</v>
      </c>
      <c r="F5" s="28" t="s">
        <v>75</v>
      </c>
      <c r="G5" s="45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27.75" customHeight="1">
      <c r="A6" s="79" t="s">
        <v>12</v>
      </c>
      <c r="B6" s="31" t="n">
        <v>13368</v>
      </c>
      <c r="C6" s="31" t="n">
        <v>7924</v>
      </c>
      <c r="D6" s="31" t="n">
        <f>SUM(B6,C6)</f>
        <v>21292</v>
      </c>
      <c r="E6" s="10" t="s">
        <v>76</v>
      </c>
      <c r="F6" s="89"/>
      <c r="G6" s="20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ht="27.75" customHeight="1">
      <c r="A7" s="80" t="s">
        <v>13</v>
      </c>
      <c r="B7" s="9" t="s">
        <v>14</v>
      </c>
      <c r="C7" s="9" t="s">
        <v>14</v>
      </c>
      <c r="D7" s="17" t="n">
        <f>D6/B5*100%</f>
        <v>0.188528219022827</v>
      </c>
      <c r="E7" s="46" t="s">
        <v>77</v>
      </c>
      <c r="F7" s="90"/>
      <c r="G7" s="2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ht="27.75" customHeight="1">
      <c r="A8" s="81" t="s">
        <v>15</v>
      </c>
      <c r="B8" s="15" t="n">
        <f>B9/B6</f>
        <v>13.6700329144225</v>
      </c>
      <c r="C8" s="15" t="n">
        <f>C9/C6</f>
        <v>16.7874810701666</v>
      </c>
      <c r="D8" s="15" t="n">
        <f>D9/D6</f>
        <v>14.8302179222243</v>
      </c>
      <c r="E8" s="46" t="s">
        <v>78</v>
      </c>
      <c r="F8" s="22"/>
      <c r="G8" s="2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ht="27.75" customHeight="1">
      <c r="A9" s="100" t="s">
        <v>16</v>
      </c>
      <c r="B9" s="74" t="n">
        <v>182741</v>
      </c>
      <c r="C9" s="74" t="n">
        <v>133024</v>
      </c>
      <c r="D9" s="74" t="n">
        <f>SUM(B9,C9)</f>
        <v>315765</v>
      </c>
      <c r="E9" s="25" t="s">
        <v>79</v>
      </c>
      <c r="F9" s="21"/>
      <c r="G9" s="2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ht="27.75" customHeight="1">
      <c r="A10" s="101"/>
      <c r="B10" s="102"/>
      <c r="C10" s="102"/>
      <c r="D10" s="26"/>
      <c r="E10" s="102"/>
      <c r="F10" s="103"/>
      <c r="G10" s="2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27.75" customHeight="1">
      <c r="A11" s="97" t="s">
        <v>18</v>
      </c>
      <c r="B11" s="104"/>
      <c r="C11" s="104"/>
      <c r="D11" s="104"/>
      <c r="E11" s="104"/>
      <c r="F11" s="105"/>
      <c r="G11" s="2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ht="27.75" customHeight="1">
      <c r="A12" s="82" t="s">
        <v>19</v>
      </c>
      <c r="B12" s="37" t="s">
        <v>20</v>
      </c>
      <c r="C12" s="38"/>
      <c r="D12" s="39" t="s">
        <v>21</v>
      </c>
      <c r="E12" s="39" t="s">
        <v>22</v>
      </c>
      <c r="F12" s="87" t="s">
        <v>10</v>
      </c>
      <c r="G12" s="20"/>
      <c r="H12" s="20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ht="61.916666666666664" customHeight="1">
      <c r="A13" s="48" t="s">
        <v>23</v>
      </c>
      <c r="B13" s="68" t="s">
        <v>24</v>
      </c>
      <c r="C13" s="47"/>
      <c r="D13" s="29" t="s">
        <v>80</v>
      </c>
      <c r="E13" s="44"/>
      <c r="F13" s="18"/>
      <c r="G13" s="20"/>
      <c r="H13" s="20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41.25" customHeight="1">
      <c r="A14" s="48" t="s">
        <v>41</v>
      </c>
      <c r="B14" s="68" t="s">
        <v>42</v>
      </c>
      <c r="C14" s="47"/>
      <c r="D14" s="33"/>
      <c r="E14" s="29"/>
      <c r="F14" s="11" t="s">
        <v>44</v>
      </c>
      <c r="G14" s="20"/>
      <c r="H14" s="20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ht="54.75" customHeight="1">
      <c r="A15" s="48" t="s">
        <v>26</v>
      </c>
      <c r="B15" s="68" t="s">
        <v>45</v>
      </c>
      <c r="C15" s="47"/>
      <c r="D15" s="33"/>
      <c r="E15" s="5"/>
      <c r="F15" s="11" t="s">
        <v>47</v>
      </c>
      <c r="G15" s="20"/>
      <c r="H15" s="20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ht="27.75" customHeight="1">
      <c r="A16" s="43"/>
      <c r="B16" s="50"/>
      <c r="C16" s="51"/>
      <c r="D16" s="74"/>
      <c r="E16" s="75"/>
      <c r="F16" s="92"/>
      <c r="G16" s="20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ht="16.5" customHeight="1">
      <c r="A17" s="16"/>
      <c r="B17" s="16"/>
      <c r="C17" s="16"/>
      <c r="D17" s="30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ht="16.5" customHeight="1">
      <c r="A18" s="16"/>
      <c r="B18" s="16"/>
      <c r="C18" s="16"/>
      <c r="D18" s="30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ht="16.5" customHeight="1">
      <c r="A19" s="16"/>
      <c r="B19" s="16"/>
      <c r="C19" s="16"/>
      <c r="D19" s="49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ht="16.5" customHeight="1">
      <c r="A20" s="16"/>
      <c r="B20" s="16"/>
      <c r="C20" s="16"/>
      <c r="D20" s="49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ht="16.5" customHeight="1">
      <c r="A21" s="16"/>
      <c r="B21" s="16"/>
      <c r="C21" s="16"/>
      <c r="D21" s="49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ht="16.5" customHeight="1">
      <c r="A22" s="16"/>
      <c r="B22" s="16"/>
      <c r="C22" s="16"/>
      <c r="D22" s="49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ht="16.5" customHeight="1">
      <c r="A23" s="16"/>
      <c r="B23" s="16"/>
      <c r="C23" s="16"/>
      <c r="D23" s="4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ht="16.5" customHeight="1">
      <c r="A24" s="16"/>
      <c r="B24" s="16"/>
      <c r="C24" s="16"/>
      <c r="D24" s="4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ht="16.5" customHeight="1">
      <c r="A25" s="16"/>
      <c r="B25" s="16"/>
      <c r="C25" s="16"/>
      <c r="D25" s="4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ht="16.5" customHeight="1">
      <c r="A26" s="16"/>
      <c r="B26" s="16"/>
      <c r="C26" s="16"/>
      <c r="D26" s="4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ht="16.5" customHeight="1">
      <c r="A27" s="16"/>
      <c r="B27" s="16"/>
      <c r="C27" s="16"/>
      <c r="D27" s="4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ht="16.5" customHeight="1">
      <c r="A28" s="16"/>
      <c r="B28" s="16"/>
      <c r="C28" s="16"/>
      <c r="D28" s="4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ht="16.5" customHeight="1">
      <c r="A29" s="16"/>
      <c r="B29" s="16"/>
      <c r="C29" s="16"/>
      <c r="D29" s="4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ht="16.5" customHeight="1">
      <c r="A30" s="16"/>
      <c r="B30" s="16"/>
      <c r="C30" s="16"/>
      <c r="D30" s="4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ht="16.5" customHeight="1">
      <c r="A31" s="16"/>
      <c r="B31" s="16"/>
      <c r="C31" s="16"/>
      <c r="D31" s="4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ht="16.5" customHeight="1">
      <c r="A32" s="16"/>
      <c r="B32" s="16"/>
      <c r="C32" s="16"/>
      <c r="D32" s="4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ht="16.5" customHeight="1">
      <c r="A33" s="16"/>
      <c r="B33" s="16"/>
      <c r="C33" s="16"/>
      <c r="D33" s="4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ht="16.5" customHeight="1">
      <c r="A34" s="16"/>
      <c r="B34" s="16"/>
      <c r="C34" s="16"/>
      <c r="D34" s="4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ht="16.5" customHeight="1">
      <c r="A35" s="16"/>
      <c r="B35" s="16"/>
      <c r="C35" s="16"/>
      <c r="D35" s="4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ht="16.5" customHeight="1">
      <c r="A36" s="16"/>
      <c r="B36" s="16"/>
      <c r="C36" s="16"/>
      <c r="D36" s="4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ht="16.5" customHeight="1">
      <c r="A37" s="16"/>
      <c r="B37" s="16"/>
      <c r="C37" s="16"/>
      <c r="D37" s="4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ht="16.5" customHeight="1">
      <c r="A38" s="16"/>
      <c r="B38" s="16"/>
      <c r="C38" s="16"/>
      <c r="D38" s="4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ht="16.5" customHeight="1">
      <c r="A39" s="16"/>
      <c r="B39" s="16"/>
      <c r="C39" s="16"/>
      <c r="D39" s="4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ht="16.5" customHeight="1">
      <c r="A40" s="16"/>
      <c r="B40" s="16"/>
      <c r="C40" s="16"/>
      <c r="D40" s="4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ht="16.5" customHeight="1">
      <c r="A41" s="16"/>
      <c r="B41" s="16"/>
      <c r="C41" s="16"/>
      <c r="D41" s="4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ht="16.5" customHeight="1">
      <c r="A42" s="16"/>
      <c r="B42" s="16"/>
      <c r="C42" s="16"/>
      <c r="D42" s="4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ht="16.5" customHeight="1">
      <c r="A43" s="16"/>
      <c r="B43" s="16"/>
      <c r="C43" s="16"/>
      <c r="D43" s="4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ht="16.5" customHeight="1">
      <c r="A44" s="16"/>
      <c r="B44" s="16"/>
      <c r="C44" s="16"/>
      <c r="D44" s="4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ht="16.5" customHeight="1">
      <c r="A45" s="16"/>
      <c r="B45" s="16"/>
      <c r="C45" s="16"/>
      <c r="D45" s="4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ht="16.5" customHeight="1">
      <c r="A46" s="16"/>
      <c r="B46" s="16"/>
      <c r="C46" s="16"/>
      <c r="D46" s="4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ht="16.5" customHeight="1">
      <c r="A47" s="16"/>
      <c r="B47" s="16"/>
      <c r="C47" s="16"/>
      <c r="D47" s="4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ht="16.5" customHeight="1">
      <c r="A48" s="16"/>
      <c r="B48" s="16"/>
      <c r="C48" s="16"/>
      <c r="D48" s="4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ht="16.5" customHeight="1">
      <c r="A49" s="16"/>
      <c r="B49" s="16"/>
      <c r="C49" s="16"/>
      <c r="D49" s="4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ht="16.5" customHeight="1">
      <c r="A50" s="16"/>
      <c r="B50" s="16"/>
      <c r="C50" s="16"/>
      <c r="D50" s="4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ht="16.5" customHeight="1">
      <c r="A51" s="16"/>
      <c r="B51" s="16"/>
      <c r="C51" s="16"/>
      <c r="D51" s="4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ht="16.5" customHeight="1">
      <c r="A52" s="16"/>
      <c r="B52" s="16"/>
      <c r="C52" s="16"/>
      <c r="D52" s="4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ht="16.5" customHeight="1">
      <c r="A53" s="16"/>
      <c r="B53" s="16"/>
      <c r="C53" s="16"/>
      <c r="D53" s="4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ht="16.5" customHeight="1">
      <c r="A54" s="16"/>
      <c r="B54" s="16"/>
      <c r="C54" s="16"/>
      <c r="D54" s="4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ht="16.5" customHeight="1">
      <c r="A55" s="16"/>
      <c r="B55" s="16"/>
      <c r="C55" s="16"/>
      <c r="D55" s="4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ht="16.5" customHeight="1">
      <c r="A56" s="16"/>
      <c r="B56" s="16"/>
      <c r="C56" s="16"/>
      <c r="D56" s="4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ht="16.5" customHeight="1">
      <c r="A57" s="16"/>
      <c r="B57" s="16"/>
      <c r="C57" s="16"/>
      <c r="D57" s="4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ht="16.5" customHeight="1">
      <c r="A58" s="16"/>
      <c r="B58" s="16"/>
      <c r="C58" s="16"/>
      <c r="D58" s="4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ht="16.5" customHeight="1">
      <c r="A59" s="16"/>
      <c r="B59" s="16"/>
      <c r="C59" s="16"/>
      <c r="D59" s="4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ht="16.5" customHeight="1">
      <c r="A60" s="16"/>
      <c r="B60" s="16"/>
      <c r="C60" s="16"/>
      <c r="D60" s="4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ht="16.5" customHeight="1">
      <c r="A61" s="16"/>
      <c r="B61" s="16"/>
      <c r="C61" s="16"/>
      <c r="D61" s="4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ht="16.5" customHeight="1">
      <c r="A62" s="16"/>
      <c r="B62" s="16"/>
      <c r="C62" s="16"/>
      <c r="D62" s="4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ht="16.5" customHeight="1">
      <c r="A63" s="16"/>
      <c r="B63" s="16"/>
      <c r="C63" s="16"/>
      <c r="D63" s="4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ht="16.5" customHeight="1">
      <c r="A64" s="16"/>
      <c r="B64" s="16"/>
      <c r="C64" s="16"/>
      <c r="D64" s="4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ht="16.5" customHeight="1">
      <c r="A65" s="16"/>
      <c r="B65" s="16"/>
      <c r="C65" s="16"/>
      <c r="D65" s="4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ht="16.5" customHeight="1">
      <c r="A66" s="16"/>
      <c r="B66" s="16"/>
      <c r="C66" s="16"/>
      <c r="D66" s="4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ht="16.5" customHeight="1">
      <c r="A67" s="16"/>
      <c r="B67" s="16"/>
      <c r="C67" s="16"/>
      <c r="D67" s="4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ht="16.5" customHeight="1">
      <c r="A68" s="16"/>
      <c r="B68" s="16"/>
      <c r="C68" s="16"/>
      <c r="D68" s="4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ht="16.5" customHeight="1">
      <c r="A69" s="16"/>
      <c r="B69" s="16"/>
      <c r="C69" s="16"/>
      <c r="D69" s="4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ht="16.5" customHeight="1">
      <c r="A70" s="16"/>
      <c r="B70" s="16"/>
      <c r="C70" s="16"/>
      <c r="D70" s="4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ht="16.5" customHeight="1">
      <c r="A71" s="16"/>
      <c r="B71" s="16"/>
      <c r="C71" s="16"/>
      <c r="D71" s="4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ht="16.5" customHeight="1">
      <c r="A72" s="16"/>
      <c r="B72" s="16"/>
      <c r="C72" s="16"/>
      <c r="D72" s="4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ht="16.5" customHeight="1">
      <c r="A73" s="16"/>
      <c r="B73" s="16"/>
      <c r="C73" s="16"/>
      <c r="D73" s="4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ht="16.5" customHeight="1">
      <c r="A74" s="16"/>
      <c r="B74" s="16"/>
      <c r="C74" s="16"/>
      <c r="D74" s="4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ht="16.5" customHeight="1">
      <c r="A75" s="16"/>
      <c r="B75" s="16"/>
      <c r="C75" s="16"/>
      <c r="D75" s="4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ht="16.5" customHeight="1">
      <c r="A76" s="16"/>
      <c r="B76" s="16"/>
      <c r="C76" s="16"/>
      <c r="D76" s="4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ht="16.5" customHeight="1">
      <c r="A77" s="16"/>
      <c r="B77" s="16"/>
      <c r="C77" s="16"/>
      <c r="D77" s="4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ht="16.5" customHeight="1">
      <c r="A78" s="16"/>
      <c r="B78" s="16"/>
      <c r="C78" s="16"/>
      <c r="D78" s="4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ht="16.5" customHeight="1">
      <c r="A79" s="16"/>
      <c r="B79" s="16"/>
      <c r="C79" s="16"/>
      <c r="D79" s="4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ht="16.5" customHeight="1">
      <c r="A80" s="16"/>
      <c r="B80" s="16"/>
      <c r="C80" s="16"/>
      <c r="D80" s="4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ht="16.5" customHeight="1">
      <c r="A81" s="16"/>
      <c r="B81" s="16"/>
      <c r="C81" s="16"/>
      <c r="D81" s="4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ht="16.5" customHeight="1">
      <c r="A82" s="16"/>
      <c r="B82" s="16"/>
      <c r="C82" s="16"/>
      <c r="D82" s="4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ht="16.5" customHeight="1">
      <c r="A83" s="16"/>
      <c r="B83" s="16"/>
      <c r="C83" s="16"/>
      <c r="D83" s="4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ht="16.5" customHeight="1">
      <c r="A84" s="16"/>
      <c r="B84" s="16"/>
      <c r="C84" s="16"/>
      <c r="D84" s="4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ht="16.5" customHeight="1">
      <c r="A85" s="16"/>
      <c r="B85" s="16"/>
      <c r="C85" s="16"/>
      <c r="D85" s="4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ht="16.5" customHeight="1">
      <c r="A86" s="16"/>
      <c r="B86" s="16"/>
      <c r="C86" s="16"/>
      <c r="D86" s="4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ht="16.5" customHeight="1">
      <c r="A87" s="16"/>
      <c r="B87" s="16"/>
      <c r="C87" s="16"/>
      <c r="D87" s="4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ht="16.5" customHeight="1">
      <c r="A88" s="16"/>
      <c r="B88" s="16"/>
      <c r="C88" s="16"/>
      <c r="D88" s="4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ht="16.5" customHeight="1">
      <c r="A89" s="16"/>
      <c r="B89" s="16"/>
      <c r="C89" s="16"/>
      <c r="D89" s="4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ht="16.5" customHeight="1">
      <c r="A90" s="16"/>
      <c r="B90" s="16"/>
      <c r="C90" s="16"/>
      <c r="D90" s="4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ht="16.5" customHeight="1">
      <c r="A91" s="16"/>
      <c r="B91" s="16"/>
      <c r="C91" s="16"/>
      <c r="D91" s="4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ht="16.5" customHeight="1">
      <c r="A92" s="16"/>
      <c r="B92" s="16"/>
      <c r="C92" s="16"/>
      <c r="D92" s="4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ht="16.5" customHeight="1">
      <c r="A93" s="16"/>
      <c r="B93" s="16"/>
      <c r="C93" s="16"/>
      <c r="D93" s="4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ht="16.5" customHeight="1">
      <c r="A94" s="16"/>
      <c r="B94" s="16"/>
      <c r="C94" s="16"/>
      <c r="D94" s="4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ht="16.5" customHeight="1">
      <c r="A95" s="16"/>
      <c r="B95" s="16"/>
      <c r="C95" s="16"/>
      <c r="D95" s="4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ht="16.5" customHeight="1">
      <c r="A96" s="16"/>
      <c r="B96" s="16"/>
      <c r="C96" s="16"/>
      <c r="D96" s="4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ht="16.5" customHeight="1">
      <c r="A97" s="16"/>
      <c r="B97" s="16"/>
      <c r="C97" s="16"/>
      <c r="D97" s="4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ht="16.5" customHeight="1">
      <c r="A98" s="16"/>
      <c r="B98" s="16"/>
      <c r="C98" s="16"/>
      <c r="D98" s="4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ht="16.5" customHeight="1">
      <c r="A99" s="16"/>
      <c r="B99" s="16"/>
      <c r="C99" s="16"/>
      <c r="D99" s="4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ht="16.5" customHeight="1">
      <c r="A100" s="16"/>
      <c r="B100" s="16"/>
      <c r="C100" s="16"/>
      <c r="D100" s="4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ht="16.5" customHeight="1">
      <c r="A101" s="16"/>
      <c r="B101" s="16"/>
      <c r="C101" s="16"/>
      <c r="D101" s="4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ht="16.5" customHeight="1">
      <c r="A102" s="16"/>
      <c r="B102" s="16"/>
      <c r="C102" s="16"/>
      <c r="D102" s="4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ht="16.5" customHeight="1">
      <c r="A103" s="16"/>
      <c r="B103" s="16"/>
      <c r="C103" s="16"/>
      <c r="D103" s="4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ht="16.5" customHeight="1">
      <c r="A104" s="16"/>
      <c r="B104" s="16"/>
      <c r="C104" s="16"/>
      <c r="D104" s="4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ht="16.5" customHeight="1">
      <c r="A105" s="16"/>
      <c r="B105" s="16"/>
      <c r="C105" s="16"/>
      <c r="D105" s="4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ht="16.5" customHeight="1">
      <c r="A106" s="16"/>
      <c r="B106" s="16"/>
      <c r="C106" s="16"/>
      <c r="D106" s="4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ht="16.5" customHeight="1">
      <c r="A107" s="16"/>
      <c r="B107" s="16"/>
      <c r="C107" s="16"/>
      <c r="D107" s="4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ht="16.5" customHeight="1">
      <c r="A108" s="16"/>
      <c r="B108" s="16"/>
      <c r="C108" s="16"/>
      <c r="D108" s="4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ht="16.5" customHeight="1">
      <c r="A109" s="16"/>
      <c r="B109" s="16"/>
      <c r="C109" s="16"/>
      <c r="D109" s="4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ht="16.5" customHeight="1">
      <c r="A110" s="16"/>
      <c r="B110" s="16"/>
      <c r="C110" s="16"/>
      <c r="D110" s="4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ht="16.5" customHeight="1">
      <c r="A111" s="16"/>
      <c r="B111" s="16"/>
      <c r="C111" s="16"/>
      <c r="D111" s="4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ht="16.5" customHeight="1">
      <c r="A112" s="16"/>
      <c r="B112" s="16"/>
      <c r="C112" s="16"/>
      <c r="D112" s="4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ht="16.5" customHeight="1">
      <c r="A113" s="16"/>
      <c r="B113" s="16"/>
      <c r="C113" s="16"/>
      <c r="D113" s="4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ht="16.5" customHeight="1">
      <c r="A114" s="16"/>
      <c r="B114" s="16"/>
      <c r="C114" s="16"/>
      <c r="D114" s="4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ht="16.5" customHeight="1">
      <c r="A115" s="16"/>
      <c r="B115" s="16"/>
      <c r="C115" s="16"/>
      <c r="D115" s="4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ht="16.5" customHeight="1">
      <c r="A116" s="16"/>
      <c r="B116" s="16"/>
      <c r="C116" s="16"/>
      <c r="D116" s="4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ht="16.5" customHeight="1">
      <c r="A117" s="16"/>
      <c r="B117" s="16"/>
      <c r="C117" s="16"/>
      <c r="D117" s="4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ht="16.5" customHeight="1">
      <c r="A118" s="16"/>
      <c r="B118" s="16"/>
      <c r="C118" s="16"/>
      <c r="D118" s="4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ht="16.5" customHeight="1">
      <c r="A119" s="16"/>
      <c r="B119" s="16"/>
      <c r="C119" s="16"/>
      <c r="D119" s="4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ht="16.5" customHeight="1">
      <c r="A120" s="16"/>
      <c r="B120" s="16"/>
      <c r="C120" s="16"/>
      <c r="D120" s="4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ht="16.5" customHeight="1">
      <c r="A121" s="16"/>
      <c r="B121" s="16"/>
      <c r="C121" s="16"/>
      <c r="D121" s="4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ht="16.5" customHeight="1">
      <c r="A122" s="16"/>
      <c r="B122" s="16"/>
      <c r="C122" s="16"/>
      <c r="D122" s="4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ht="16.5" customHeight="1">
      <c r="A123" s="16"/>
      <c r="B123" s="16"/>
      <c r="C123" s="16"/>
      <c r="D123" s="4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ht="16.5" customHeight="1">
      <c r="A124" s="16"/>
      <c r="B124" s="16"/>
      <c r="C124" s="16"/>
      <c r="D124" s="4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ht="16.5" customHeight="1">
      <c r="A125" s="16"/>
      <c r="B125" s="16"/>
      <c r="C125" s="16"/>
      <c r="D125" s="4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ht="16.5" customHeight="1">
      <c r="A126" s="16"/>
      <c r="B126" s="16"/>
      <c r="C126" s="16"/>
      <c r="D126" s="4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ht="16.5" customHeight="1">
      <c r="A127" s="16"/>
      <c r="B127" s="16"/>
      <c r="C127" s="16"/>
      <c r="D127" s="4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ht="16.5" customHeight="1">
      <c r="A128" s="16"/>
      <c r="B128" s="16"/>
      <c r="C128" s="16"/>
      <c r="D128" s="4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ht="16.5" customHeight="1">
      <c r="A129" s="16"/>
      <c r="B129" s="16"/>
      <c r="C129" s="16"/>
      <c r="D129" s="4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ht="16.5" customHeight="1">
      <c r="A130" s="16"/>
      <c r="B130" s="16"/>
      <c r="C130" s="16"/>
      <c r="D130" s="4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ht="16.5" customHeight="1">
      <c r="A131" s="16"/>
      <c r="B131" s="16"/>
      <c r="C131" s="16"/>
      <c r="D131" s="4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ht="16.5" customHeight="1">
      <c r="A132" s="16"/>
      <c r="B132" s="16"/>
      <c r="C132" s="16"/>
      <c r="D132" s="4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ht="16.5" customHeight="1">
      <c r="A133" s="16"/>
      <c r="B133" s="16"/>
      <c r="C133" s="16"/>
      <c r="D133" s="4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ht="16.5" customHeight="1">
      <c r="A134" s="16"/>
      <c r="B134" s="16"/>
      <c r="C134" s="16"/>
      <c r="D134" s="4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ht="16.5" customHeight="1">
      <c r="A135" s="16"/>
      <c r="B135" s="16"/>
      <c r="C135" s="16"/>
      <c r="D135" s="4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ht="16.5" customHeight="1">
      <c r="A136" s="16"/>
      <c r="B136" s="16"/>
      <c r="C136" s="16"/>
      <c r="D136" s="4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ht="16.5" customHeight="1">
      <c r="A137" s="16"/>
      <c r="B137" s="16"/>
      <c r="C137" s="16"/>
      <c r="D137" s="4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ht="16.5" customHeight="1">
      <c r="A138" s="16"/>
      <c r="B138" s="16"/>
      <c r="C138" s="16"/>
      <c r="D138" s="4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ht="16.5" customHeight="1">
      <c r="A139" s="16"/>
      <c r="B139" s="16"/>
      <c r="C139" s="16"/>
      <c r="D139" s="4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ht="16.5" customHeight="1">
      <c r="A140" s="16"/>
      <c r="B140" s="16"/>
      <c r="C140" s="16"/>
      <c r="D140" s="4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ht="16.5" customHeight="1">
      <c r="A141" s="16"/>
      <c r="B141" s="16"/>
      <c r="C141" s="16"/>
      <c r="D141" s="4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ht="16.5" customHeight="1">
      <c r="A142" s="16"/>
      <c r="B142" s="16"/>
      <c r="C142" s="16"/>
      <c r="D142" s="4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ht="16.5" customHeight="1">
      <c r="A143" s="16"/>
      <c r="B143" s="16"/>
      <c r="C143" s="16"/>
      <c r="D143" s="4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ht="16.5" customHeight="1">
      <c r="A144" s="16"/>
      <c r="B144" s="16"/>
      <c r="C144" s="16"/>
      <c r="D144" s="4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ht="16.5" customHeight="1">
      <c r="A145" s="16"/>
      <c r="B145" s="16"/>
      <c r="C145" s="16"/>
      <c r="D145" s="4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ht="16.5" customHeight="1">
      <c r="A146" s="16"/>
      <c r="B146" s="16"/>
      <c r="C146" s="16"/>
      <c r="D146" s="4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ht="16.5" customHeight="1">
      <c r="A147" s="16"/>
      <c r="B147" s="16"/>
      <c r="C147" s="16"/>
      <c r="D147" s="4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ht="16.5" customHeight="1">
      <c r="A148" s="16"/>
      <c r="B148" s="16"/>
      <c r="C148" s="16"/>
      <c r="D148" s="4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ht="16.5" customHeight="1">
      <c r="A149" s="16"/>
      <c r="B149" s="16"/>
      <c r="C149" s="16"/>
      <c r="D149" s="4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ht="16.5" customHeight="1">
      <c r="A150" s="16"/>
      <c r="B150" s="16"/>
      <c r="C150" s="16"/>
      <c r="D150" s="4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ht="16.5" customHeight="1">
      <c r="A151" s="16"/>
      <c r="B151" s="16"/>
      <c r="C151" s="16"/>
      <c r="D151" s="4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ht="16.5" customHeight="1">
      <c r="A152" s="16"/>
      <c r="B152" s="16"/>
      <c r="C152" s="16"/>
      <c r="D152" s="4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ht="16.5" customHeight="1">
      <c r="A153" s="16"/>
      <c r="B153" s="16"/>
      <c r="C153" s="16"/>
      <c r="D153" s="4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ht="16.5" customHeight="1">
      <c r="A154" s="16"/>
      <c r="B154" s="16"/>
      <c r="C154" s="16"/>
      <c r="D154" s="4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ht="16.5" customHeight="1">
      <c r="A155" s="16"/>
      <c r="B155" s="16"/>
      <c r="C155" s="16"/>
      <c r="D155" s="4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ht="16.5" customHeight="1">
      <c r="A156" s="16"/>
      <c r="B156" s="16"/>
      <c r="C156" s="16"/>
      <c r="D156" s="4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ht="16.5" customHeight="1">
      <c r="A157" s="16"/>
      <c r="B157" s="16"/>
      <c r="C157" s="16"/>
      <c r="D157" s="4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ht="16.5" customHeight="1">
      <c r="A158" s="16"/>
      <c r="B158" s="16"/>
      <c r="C158" s="16"/>
      <c r="D158" s="4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ht="16.5" customHeight="1">
      <c r="A159" s="16"/>
      <c r="B159" s="16"/>
      <c r="C159" s="16"/>
      <c r="D159" s="4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ht="16.5" customHeight="1">
      <c r="A160" s="16"/>
      <c r="B160" s="16"/>
      <c r="C160" s="16"/>
      <c r="D160" s="4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ht="16.5" customHeight="1">
      <c r="A161" s="16"/>
      <c r="B161" s="16"/>
      <c r="C161" s="16"/>
      <c r="D161" s="4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ht="16.5" customHeight="1">
      <c r="A162" s="16"/>
      <c r="B162" s="16"/>
      <c r="C162" s="16"/>
      <c r="D162" s="4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ht="16.5" customHeight="1">
      <c r="A163" s="16"/>
      <c r="B163" s="16"/>
      <c r="C163" s="16"/>
      <c r="D163" s="4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ht="16.5" customHeight="1">
      <c r="A164" s="16"/>
      <c r="B164" s="16"/>
      <c r="C164" s="16"/>
      <c r="D164" s="4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ht="16.5" customHeight="1">
      <c r="A165" s="16"/>
      <c r="B165" s="16"/>
      <c r="C165" s="16"/>
      <c r="D165" s="4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ht="16.5" customHeight="1">
      <c r="A166" s="16"/>
      <c r="B166" s="16"/>
      <c r="C166" s="16"/>
      <c r="D166" s="4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ht="16.5" customHeight="1">
      <c r="A167" s="16"/>
      <c r="B167" s="16"/>
      <c r="C167" s="16"/>
      <c r="D167" s="4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ht="16.5" customHeight="1">
      <c r="A168" s="16"/>
      <c r="B168" s="16"/>
      <c r="C168" s="16"/>
      <c r="D168" s="4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ht="16.5" customHeight="1">
      <c r="A169" s="16"/>
      <c r="B169" s="16"/>
      <c r="C169" s="16"/>
      <c r="D169" s="4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ht="16.5" customHeight="1">
      <c r="A170" s="16"/>
      <c r="B170" s="16"/>
      <c r="C170" s="16"/>
      <c r="D170" s="4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ht="16.5" customHeight="1">
      <c r="A171" s="16"/>
      <c r="B171" s="16"/>
      <c r="C171" s="16"/>
      <c r="D171" s="4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ht="16.5" customHeight="1">
      <c r="A172" s="16"/>
      <c r="B172" s="16"/>
      <c r="C172" s="16"/>
      <c r="D172" s="4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ht="16.5" customHeight="1">
      <c r="A173" s="16"/>
      <c r="B173" s="16"/>
      <c r="C173" s="16"/>
      <c r="D173" s="4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ht="16.5" customHeight="1">
      <c r="A174" s="16"/>
      <c r="B174" s="16"/>
      <c r="C174" s="16"/>
      <c r="D174" s="4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ht="16.5" customHeight="1">
      <c r="A175" s="16"/>
      <c r="B175" s="16"/>
      <c r="C175" s="16"/>
      <c r="D175" s="4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ht="16.5" customHeight="1">
      <c r="A176" s="16"/>
      <c r="B176" s="16"/>
      <c r="C176" s="16"/>
      <c r="D176" s="4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ht="16.5" customHeight="1">
      <c r="A177" s="16"/>
      <c r="B177" s="16"/>
      <c r="C177" s="16"/>
      <c r="D177" s="4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ht="16.5" customHeight="1">
      <c r="A178" s="16"/>
      <c r="B178" s="16"/>
      <c r="C178" s="16"/>
      <c r="D178" s="4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ht="16.5" customHeight="1">
      <c r="A179" s="16"/>
      <c r="B179" s="16"/>
      <c r="C179" s="16"/>
      <c r="D179" s="4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ht="16.5" customHeight="1">
      <c r="A180" s="16"/>
      <c r="B180" s="16"/>
      <c r="C180" s="16"/>
      <c r="D180" s="4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ht="16.5" customHeight="1">
      <c r="A181" s="16"/>
      <c r="B181" s="16"/>
      <c r="C181" s="16"/>
      <c r="D181" s="4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ht="16.5" customHeight="1">
      <c r="A182" s="16"/>
      <c r="B182" s="16"/>
      <c r="C182" s="16"/>
      <c r="D182" s="4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ht="16.5" customHeight="1">
      <c r="A183" s="16"/>
      <c r="B183" s="16"/>
      <c r="C183" s="16"/>
      <c r="D183" s="4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ht="16.5" customHeight="1">
      <c r="A184" s="16"/>
      <c r="B184" s="16"/>
      <c r="C184" s="16"/>
      <c r="D184" s="4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ht="16.5" customHeight="1">
      <c r="A185" s="16"/>
      <c r="B185" s="16"/>
      <c r="C185" s="16"/>
      <c r="D185" s="4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ht="16.5" customHeight="1">
      <c r="A186" s="16"/>
      <c r="B186" s="16"/>
      <c r="C186" s="16"/>
      <c r="D186" s="4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ht="16.5" customHeight="1">
      <c r="A187" s="16"/>
      <c r="B187" s="16"/>
      <c r="C187" s="16"/>
      <c r="D187" s="4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ht="16.5" customHeight="1">
      <c r="A188" s="16"/>
      <c r="B188" s="16"/>
      <c r="C188" s="16"/>
      <c r="D188" s="4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ht="16.5" customHeight="1">
      <c r="A189" s="16"/>
      <c r="B189" s="16"/>
      <c r="C189" s="16"/>
      <c r="D189" s="4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ht="16.5" customHeight="1">
      <c r="A190" s="16"/>
      <c r="B190" s="16"/>
      <c r="C190" s="16"/>
      <c r="D190" s="4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ht="16.5" customHeight="1">
      <c r="A191" s="16"/>
      <c r="B191" s="16"/>
      <c r="C191" s="16"/>
      <c r="D191" s="4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ht="16.5" customHeight="1">
      <c r="A192" s="16"/>
      <c r="B192" s="16"/>
      <c r="C192" s="16"/>
      <c r="D192" s="4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ht="16.5" customHeight="1">
      <c r="A193" s="16"/>
      <c r="B193" s="16"/>
      <c r="C193" s="16"/>
      <c r="D193" s="4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</sheetData>
  <mergeCells count="11">
    <mergeCell ref="B14:C14"/>
    <mergeCell ref="B15:C15"/>
    <mergeCell ref="B16:C16"/>
    <mergeCell ref="B12:C12"/>
    <mergeCell ref="B13:C13"/>
    <mergeCell ref="A3:F3"/>
    <mergeCell ref="B5:D5"/>
    <mergeCell ref="B2:C2"/>
    <mergeCell ref="A1:F1"/>
    <mergeCell ref="A11:F11"/>
    <mergeCell ref="D2:E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7.02734375" customWidth="1"/>
    <col min="2" max="2" width="22.3740234375" customWidth="1"/>
    <col min="3" max="3" width="24.6796875" customWidth="1"/>
    <col min="4" max="4" width="32.736328125" customWidth="1" style="14"/>
    <col min="5" max="5" width="30.3603515625"/>
    <col min="6" max="6" width="34.388671875" customWidth="1"/>
  </cols>
  <sheetData>
    <row r="1" ht="26.25" customHeight="1">
      <c r="A1" s="76" t="s">
        <v>0</v>
      </c>
      <c r="B1" s="71"/>
      <c r="C1" s="71"/>
      <c r="D1" s="23"/>
      <c r="E1" s="71"/>
      <c r="F1" s="86"/>
      <c r="G1" s="2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ht="17.25" customHeight="1">
      <c r="A2" s="93"/>
      <c r="B2" s="94" t="s">
        <v>81</v>
      </c>
      <c r="C2" s="95"/>
      <c r="D2" s="94" t="s">
        <v>82</v>
      </c>
      <c r="E2" s="95"/>
      <c r="F2" s="96"/>
      <c r="G2" s="2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ht="27.75" customHeight="1">
      <c r="A3" s="97" t="s">
        <v>3</v>
      </c>
      <c r="B3" s="98"/>
      <c r="C3" s="98"/>
      <c r="D3" s="104"/>
      <c r="E3" s="98"/>
      <c r="F3" s="99"/>
      <c r="G3" s="20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ht="27.75" customHeight="1">
      <c r="A4" s="77" t="s">
        <v>5</v>
      </c>
      <c r="B4" s="39" t="s">
        <v>6</v>
      </c>
      <c r="C4" s="39" t="s">
        <v>7</v>
      </c>
      <c r="D4" s="39" t="s">
        <v>8</v>
      </c>
      <c r="E4" s="39" t="s">
        <v>9</v>
      </c>
      <c r="F4" s="87" t="s">
        <v>10</v>
      </c>
      <c r="G4" s="20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ht="27.75" customHeight="1">
      <c r="A5" s="78" t="s">
        <v>11</v>
      </c>
      <c r="B5" s="7" t="n">
        <v>55781</v>
      </c>
      <c r="C5" s="6"/>
      <c r="D5" s="6"/>
      <c r="E5" s="10" t="s">
        <v>83</v>
      </c>
      <c r="F5" s="28"/>
      <c r="G5" s="20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27.75" customHeight="1">
      <c r="A6" s="79" t="s">
        <v>12</v>
      </c>
      <c r="B6" s="31" t="n">
        <v>5864</v>
      </c>
      <c r="C6" s="31" t="n">
        <v>5439</v>
      </c>
      <c r="D6" s="31" t="n">
        <f>SUM(B6,C6)</f>
        <v>11303</v>
      </c>
      <c r="E6" s="10" t="s">
        <v>84</v>
      </c>
      <c r="F6" s="89"/>
      <c r="G6" s="20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ht="27.75" customHeight="1">
      <c r="A7" s="80" t="s">
        <v>13</v>
      </c>
      <c r="B7" s="9" t="s">
        <v>14</v>
      </c>
      <c r="C7" s="9" t="s">
        <v>14</v>
      </c>
      <c r="D7" s="17" t="n">
        <f>D6/B5*100%</f>
        <v>0.202631720478299</v>
      </c>
      <c r="E7" s="10" t="s">
        <v>85</v>
      </c>
      <c r="F7" s="90"/>
      <c r="G7" s="2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ht="27.75" customHeight="1">
      <c r="A8" s="81" t="s">
        <v>15</v>
      </c>
      <c r="B8" s="15" t="n">
        <f>B9/B6</f>
        <v>14.3391780354707</v>
      </c>
      <c r="C8" s="15" t="n">
        <f>C9/C6</f>
        <v>16.4522890237176</v>
      </c>
      <c r="D8" s="15" t="n">
        <f>D9/D6</f>
        <v>15.3560063699903</v>
      </c>
      <c r="E8" s="10" t="s">
        <v>86</v>
      </c>
      <c r="F8" s="22"/>
      <c r="G8" s="2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ht="27.75" customHeight="1">
      <c r="A9" s="100" t="s">
        <v>16</v>
      </c>
      <c r="B9" s="74" t="n">
        <v>84084.94</v>
      </c>
      <c r="C9" s="74" t="n">
        <v>89484</v>
      </c>
      <c r="D9" s="74" t="n">
        <f>SUM(B9,C9)</f>
        <v>173568.94</v>
      </c>
      <c r="E9" s="25" t="s">
        <v>87</v>
      </c>
      <c r="F9" s="21"/>
      <c r="G9" s="2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ht="27.75" customHeight="1">
      <c r="A10" s="101"/>
      <c r="B10" s="102"/>
      <c r="C10" s="102"/>
      <c r="D10" s="26"/>
      <c r="E10" s="102"/>
      <c r="F10" s="103"/>
      <c r="G10" s="2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27.75" customHeight="1">
      <c r="A11" s="97" t="s">
        <v>18</v>
      </c>
      <c r="B11" s="104"/>
      <c r="C11" s="104"/>
      <c r="D11" s="104"/>
      <c r="E11" s="104"/>
      <c r="F11" s="105"/>
      <c r="G11" s="2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ht="27.75" customHeight="1">
      <c r="A12" s="82" t="s">
        <v>19</v>
      </c>
      <c r="B12" s="37" t="s">
        <v>88</v>
      </c>
      <c r="C12" s="38"/>
      <c r="D12" s="39" t="s">
        <v>21</v>
      </c>
      <c r="E12" s="39" t="s">
        <v>22</v>
      </c>
      <c r="F12" s="87" t="s">
        <v>10</v>
      </c>
      <c r="G12" s="20"/>
      <c r="H12" s="20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ht="61.916666666666664" customHeight="1">
      <c r="A13" s="83" t="s">
        <v>89</v>
      </c>
      <c r="B13" s="106" t="s">
        <v>90</v>
      </c>
      <c r="C13" s="69"/>
      <c r="D13" s="29" t="s">
        <v>91</v>
      </c>
      <c r="E13" s="44"/>
      <c r="F13" s="18"/>
      <c r="G13" s="20"/>
      <c r="H13" s="20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16.5" customHeight="1">
      <c r="A14" s="84"/>
      <c r="B14" s="70"/>
      <c r="C14" s="69"/>
      <c r="D14" s="33"/>
      <c r="E14" s="29"/>
      <c r="F14" s="11"/>
      <c r="G14" s="20"/>
      <c r="H14" s="20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ht="16.5" customHeight="1">
      <c r="A15" s="84"/>
      <c r="B15" s="70"/>
      <c r="C15" s="69"/>
      <c r="D15" s="33"/>
      <c r="E15" s="5"/>
      <c r="F15" s="11"/>
      <c r="G15" s="20"/>
      <c r="H15" s="20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ht="27.75" customHeight="1">
      <c r="A16" s="85"/>
      <c r="B16" s="72"/>
      <c r="C16" s="73"/>
      <c r="D16" s="74"/>
      <c r="E16" s="75"/>
      <c r="F16" s="92"/>
      <c r="G16" s="20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ht="16.5" customHeight="1">
      <c r="A17" s="16"/>
      <c r="B17" s="16"/>
      <c r="C17" s="16"/>
      <c r="D17" s="30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ht="16.5" customHeight="1">
      <c r="A18" s="16"/>
      <c r="B18" s="16"/>
      <c r="C18" s="16"/>
      <c r="D18" s="30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ht="16.5" customHeight="1">
      <c r="A19" s="16"/>
      <c r="B19" s="16"/>
      <c r="C19" s="16"/>
      <c r="D19" s="49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ht="16.5" customHeight="1">
      <c r="A20" s="16"/>
      <c r="B20" s="16"/>
      <c r="C20" s="16"/>
      <c r="D20" s="49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ht="16.5" customHeight="1">
      <c r="A21" s="16"/>
      <c r="B21" s="16"/>
      <c r="C21" s="16"/>
      <c r="D21" s="49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ht="16.5" customHeight="1">
      <c r="A22" s="16"/>
      <c r="B22" s="16"/>
      <c r="C22" s="16"/>
      <c r="D22" s="49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ht="16.5" customHeight="1">
      <c r="A23" s="16"/>
      <c r="B23" s="16"/>
      <c r="C23" s="16"/>
      <c r="D23" s="4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ht="16.5" customHeight="1">
      <c r="A24" s="16"/>
      <c r="B24" s="16"/>
      <c r="C24" s="16"/>
      <c r="D24" s="4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ht="16.5" customHeight="1">
      <c r="A25" s="16"/>
      <c r="B25" s="16"/>
      <c r="C25" s="16"/>
      <c r="D25" s="4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ht="16.5" customHeight="1">
      <c r="A26" s="16"/>
      <c r="B26" s="16"/>
      <c r="C26" s="16"/>
      <c r="D26" s="4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ht="16.5" customHeight="1">
      <c r="A27" s="16"/>
      <c r="B27" s="16"/>
      <c r="C27" s="16"/>
      <c r="D27" s="4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ht="16.5" customHeight="1">
      <c r="A28" s="16"/>
      <c r="B28" s="16"/>
      <c r="C28" s="16"/>
      <c r="D28" s="4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ht="16.5" customHeight="1">
      <c r="A29" s="16"/>
      <c r="B29" s="16"/>
      <c r="C29" s="16"/>
      <c r="D29" s="4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ht="16.5" customHeight="1">
      <c r="A30" s="16"/>
      <c r="B30" s="16"/>
      <c r="C30" s="16"/>
      <c r="D30" s="4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ht="16.5" customHeight="1">
      <c r="A31" s="16"/>
      <c r="B31" s="16"/>
      <c r="C31" s="16"/>
      <c r="D31" s="4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ht="16.5" customHeight="1">
      <c r="A32" s="16"/>
      <c r="B32" s="16"/>
      <c r="C32" s="16"/>
      <c r="D32" s="4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ht="16.5" customHeight="1">
      <c r="A33" s="16"/>
      <c r="B33" s="16"/>
      <c r="C33" s="16"/>
      <c r="D33" s="4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ht="16.5" customHeight="1">
      <c r="A34" s="16"/>
      <c r="B34" s="16"/>
      <c r="C34" s="16"/>
      <c r="D34" s="4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ht="16.5" customHeight="1">
      <c r="A35" s="16"/>
      <c r="B35" s="16"/>
      <c r="C35" s="16"/>
      <c r="D35" s="4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ht="16.5" customHeight="1">
      <c r="A36" s="16"/>
      <c r="B36" s="16"/>
      <c r="C36" s="16"/>
      <c r="D36" s="4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ht="16.5" customHeight="1">
      <c r="A37" s="16"/>
      <c r="B37" s="16"/>
      <c r="C37" s="16"/>
      <c r="D37" s="4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ht="16.5" customHeight="1">
      <c r="A38" s="16"/>
      <c r="B38" s="16"/>
      <c r="C38" s="16"/>
      <c r="D38" s="4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ht="16.5" customHeight="1">
      <c r="A39" s="16"/>
      <c r="B39" s="16"/>
      <c r="C39" s="16"/>
      <c r="D39" s="4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ht="16.5" customHeight="1">
      <c r="A40" s="16"/>
      <c r="B40" s="16"/>
      <c r="C40" s="16"/>
      <c r="D40" s="4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ht="16.5" customHeight="1">
      <c r="A41" s="16"/>
      <c r="B41" s="16"/>
      <c r="C41" s="16"/>
      <c r="D41" s="4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ht="16.5" customHeight="1">
      <c r="A42" s="16"/>
      <c r="B42" s="16"/>
      <c r="C42" s="16"/>
      <c r="D42" s="4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ht="16.5" customHeight="1">
      <c r="A43" s="16"/>
      <c r="B43" s="16"/>
      <c r="C43" s="16"/>
      <c r="D43" s="4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ht="16.5" customHeight="1">
      <c r="A44" s="16"/>
      <c r="B44" s="16"/>
      <c r="C44" s="16"/>
      <c r="D44" s="4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ht="16.5" customHeight="1">
      <c r="A45" s="16"/>
      <c r="B45" s="16"/>
      <c r="C45" s="16"/>
      <c r="D45" s="4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ht="16.5" customHeight="1">
      <c r="A46" s="16"/>
      <c r="B46" s="16"/>
      <c r="C46" s="16"/>
      <c r="D46" s="4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ht="16.5" customHeight="1">
      <c r="A47" s="16"/>
      <c r="B47" s="16"/>
      <c r="C47" s="16"/>
      <c r="D47" s="4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ht="16.5" customHeight="1">
      <c r="A48" s="16"/>
      <c r="B48" s="16"/>
      <c r="C48" s="16"/>
      <c r="D48" s="4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ht="16.5" customHeight="1">
      <c r="A49" s="16"/>
      <c r="B49" s="16"/>
      <c r="C49" s="16"/>
      <c r="D49" s="4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ht="16.5" customHeight="1">
      <c r="A50" s="16"/>
      <c r="B50" s="16"/>
      <c r="C50" s="16"/>
      <c r="D50" s="4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ht="16.5" customHeight="1">
      <c r="A51" s="16"/>
      <c r="B51" s="16"/>
      <c r="C51" s="16"/>
      <c r="D51" s="4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ht="16.5" customHeight="1">
      <c r="A52" s="16"/>
      <c r="B52" s="16"/>
      <c r="C52" s="16"/>
      <c r="D52" s="4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ht="16.5" customHeight="1">
      <c r="A53" s="16"/>
      <c r="B53" s="16"/>
      <c r="C53" s="16"/>
      <c r="D53" s="4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ht="16.5" customHeight="1">
      <c r="A54" s="16"/>
      <c r="B54" s="16"/>
      <c r="C54" s="16"/>
      <c r="D54" s="4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ht="16.5" customHeight="1">
      <c r="A55" s="16"/>
      <c r="B55" s="16"/>
      <c r="C55" s="16"/>
      <c r="D55" s="4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ht="16.5" customHeight="1">
      <c r="A56" s="16"/>
      <c r="B56" s="16"/>
      <c r="C56" s="16"/>
      <c r="D56" s="4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ht="16.5" customHeight="1">
      <c r="A57" s="16"/>
      <c r="B57" s="16"/>
      <c r="C57" s="16"/>
      <c r="D57" s="4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ht="16.5" customHeight="1">
      <c r="A58" s="16"/>
      <c r="B58" s="16"/>
      <c r="C58" s="16"/>
      <c r="D58" s="4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ht="16.5" customHeight="1">
      <c r="A59" s="16"/>
      <c r="B59" s="16"/>
      <c r="C59" s="16"/>
      <c r="D59" s="4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ht="16.5" customHeight="1">
      <c r="A60" s="16"/>
      <c r="B60" s="16"/>
      <c r="C60" s="16"/>
      <c r="D60" s="4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ht="16.5" customHeight="1">
      <c r="A61" s="16"/>
      <c r="B61" s="16"/>
      <c r="C61" s="16"/>
      <c r="D61" s="4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ht="16.5" customHeight="1">
      <c r="A62" s="16"/>
      <c r="B62" s="16"/>
      <c r="C62" s="16"/>
      <c r="D62" s="4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ht="16.5" customHeight="1">
      <c r="A63" s="16"/>
      <c r="B63" s="16"/>
      <c r="C63" s="16"/>
      <c r="D63" s="4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ht="16.5" customHeight="1">
      <c r="A64" s="16"/>
      <c r="B64" s="16"/>
      <c r="C64" s="16"/>
      <c r="D64" s="4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ht="16.5" customHeight="1">
      <c r="A65" s="16"/>
      <c r="B65" s="16"/>
      <c r="C65" s="16"/>
      <c r="D65" s="4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ht="16.5" customHeight="1">
      <c r="A66" s="16"/>
      <c r="B66" s="16"/>
      <c r="C66" s="16"/>
      <c r="D66" s="4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ht="16.5" customHeight="1">
      <c r="A67" s="16"/>
      <c r="B67" s="16"/>
      <c r="C67" s="16"/>
      <c r="D67" s="4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ht="16.5" customHeight="1">
      <c r="A68" s="16"/>
      <c r="B68" s="16"/>
      <c r="C68" s="16"/>
      <c r="D68" s="4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ht="16.5" customHeight="1">
      <c r="A69" s="16"/>
      <c r="B69" s="16"/>
      <c r="C69" s="16"/>
      <c r="D69" s="4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ht="16.5" customHeight="1">
      <c r="A70" s="16"/>
      <c r="B70" s="16"/>
      <c r="C70" s="16"/>
      <c r="D70" s="4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ht="16.5" customHeight="1">
      <c r="A71" s="16"/>
      <c r="B71" s="16"/>
      <c r="C71" s="16"/>
      <c r="D71" s="4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ht="16.5" customHeight="1">
      <c r="A72" s="16"/>
      <c r="B72" s="16"/>
      <c r="C72" s="16"/>
      <c r="D72" s="4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ht="16.5" customHeight="1">
      <c r="A73" s="16"/>
      <c r="B73" s="16"/>
      <c r="C73" s="16"/>
      <c r="D73" s="4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ht="16.5" customHeight="1">
      <c r="A74" s="16"/>
      <c r="B74" s="16"/>
      <c r="C74" s="16"/>
      <c r="D74" s="4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ht="16.5" customHeight="1">
      <c r="A75" s="16"/>
      <c r="B75" s="16"/>
      <c r="C75" s="16"/>
      <c r="D75" s="4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ht="16.5" customHeight="1">
      <c r="A76" s="16"/>
      <c r="B76" s="16"/>
      <c r="C76" s="16"/>
      <c r="D76" s="4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ht="16.5" customHeight="1">
      <c r="A77" s="16"/>
      <c r="B77" s="16"/>
      <c r="C77" s="16"/>
      <c r="D77" s="4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ht="16.5" customHeight="1">
      <c r="A78" s="16"/>
      <c r="B78" s="16"/>
      <c r="C78" s="16"/>
      <c r="D78" s="4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ht="16.5" customHeight="1">
      <c r="A79" s="16"/>
      <c r="B79" s="16"/>
      <c r="C79" s="16"/>
      <c r="D79" s="4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ht="16.5" customHeight="1">
      <c r="A80" s="16"/>
      <c r="B80" s="16"/>
      <c r="C80" s="16"/>
      <c r="D80" s="4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ht="16.5" customHeight="1">
      <c r="A81" s="16"/>
      <c r="B81" s="16"/>
      <c r="C81" s="16"/>
      <c r="D81" s="4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ht="16.5" customHeight="1">
      <c r="A82" s="16"/>
      <c r="B82" s="16"/>
      <c r="C82" s="16"/>
      <c r="D82" s="4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ht="16.5" customHeight="1">
      <c r="A83" s="16"/>
      <c r="B83" s="16"/>
      <c r="C83" s="16"/>
      <c r="D83" s="4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ht="16.5" customHeight="1">
      <c r="A84" s="16"/>
      <c r="B84" s="16"/>
      <c r="C84" s="16"/>
      <c r="D84" s="4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ht="16.5" customHeight="1">
      <c r="A85" s="16"/>
      <c r="B85" s="16"/>
      <c r="C85" s="16"/>
      <c r="D85" s="4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ht="16.5" customHeight="1">
      <c r="A86" s="16"/>
      <c r="B86" s="16"/>
      <c r="C86" s="16"/>
      <c r="D86" s="4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ht="16.5" customHeight="1">
      <c r="A87" s="16"/>
      <c r="B87" s="16"/>
      <c r="C87" s="16"/>
      <c r="D87" s="4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ht="16.5" customHeight="1">
      <c r="A88" s="16"/>
      <c r="B88" s="16"/>
      <c r="C88" s="16"/>
      <c r="D88" s="4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ht="16.5" customHeight="1">
      <c r="A89" s="16"/>
      <c r="B89" s="16"/>
      <c r="C89" s="16"/>
      <c r="D89" s="4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ht="16.5" customHeight="1">
      <c r="A90" s="16"/>
      <c r="B90" s="16"/>
      <c r="C90" s="16"/>
      <c r="D90" s="4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ht="16.5" customHeight="1">
      <c r="A91" s="16"/>
      <c r="B91" s="16"/>
      <c r="C91" s="16"/>
      <c r="D91" s="4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ht="16.5" customHeight="1">
      <c r="A92" s="16"/>
      <c r="B92" s="16"/>
      <c r="C92" s="16"/>
      <c r="D92" s="4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ht="16.5" customHeight="1">
      <c r="A93" s="16"/>
      <c r="B93" s="16"/>
      <c r="C93" s="16"/>
      <c r="D93" s="4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ht="16.5" customHeight="1">
      <c r="A94" s="16"/>
      <c r="B94" s="16"/>
      <c r="C94" s="16"/>
      <c r="D94" s="4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ht="16.5" customHeight="1">
      <c r="A95" s="16"/>
      <c r="B95" s="16"/>
      <c r="C95" s="16"/>
      <c r="D95" s="4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ht="16.5" customHeight="1">
      <c r="A96" s="16"/>
      <c r="B96" s="16"/>
      <c r="C96" s="16"/>
      <c r="D96" s="4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ht="16.5" customHeight="1">
      <c r="A97" s="16"/>
      <c r="B97" s="16"/>
      <c r="C97" s="16"/>
      <c r="D97" s="4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ht="16.5" customHeight="1">
      <c r="A98" s="16"/>
      <c r="B98" s="16"/>
      <c r="C98" s="16"/>
      <c r="D98" s="4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ht="16.5" customHeight="1">
      <c r="A99" s="16"/>
      <c r="B99" s="16"/>
      <c r="C99" s="16"/>
      <c r="D99" s="4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ht="16.5" customHeight="1">
      <c r="A100" s="16"/>
      <c r="B100" s="16"/>
      <c r="C100" s="16"/>
      <c r="D100" s="4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ht="16.5" customHeight="1">
      <c r="A101" s="16"/>
      <c r="B101" s="16"/>
      <c r="C101" s="16"/>
      <c r="D101" s="4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ht="16.5" customHeight="1">
      <c r="A102" s="16"/>
      <c r="B102" s="16"/>
      <c r="C102" s="16"/>
      <c r="D102" s="4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ht="16.5" customHeight="1">
      <c r="A103" s="16"/>
      <c r="B103" s="16"/>
      <c r="C103" s="16"/>
      <c r="D103" s="4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ht="16.5" customHeight="1">
      <c r="A104" s="16"/>
      <c r="B104" s="16"/>
      <c r="C104" s="16"/>
      <c r="D104" s="4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ht="16.5" customHeight="1">
      <c r="A105" s="16"/>
      <c r="B105" s="16"/>
      <c r="C105" s="16"/>
      <c r="D105" s="4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ht="16.5" customHeight="1">
      <c r="A106" s="16"/>
      <c r="B106" s="16"/>
      <c r="C106" s="16"/>
      <c r="D106" s="4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ht="16.5" customHeight="1">
      <c r="A107" s="16"/>
      <c r="B107" s="16"/>
      <c r="C107" s="16"/>
      <c r="D107" s="4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ht="16.5" customHeight="1">
      <c r="A108" s="16"/>
      <c r="B108" s="16"/>
      <c r="C108" s="16"/>
      <c r="D108" s="4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ht="16.5" customHeight="1">
      <c r="A109" s="16"/>
      <c r="B109" s="16"/>
      <c r="C109" s="16"/>
      <c r="D109" s="4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ht="16.5" customHeight="1">
      <c r="A110" s="16"/>
      <c r="B110" s="16"/>
      <c r="C110" s="16"/>
      <c r="D110" s="4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ht="16.5" customHeight="1">
      <c r="A111" s="16"/>
      <c r="B111" s="16"/>
      <c r="C111" s="16"/>
      <c r="D111" s="4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ht="16.5" customHeight="1">
      <c r="A112" s="16"/>
      <c r="B112" s="16"/>
      <c r="C112" s="16"/>
      <c r="D112" s="4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ht="16.5" customHeight="1">
      <c r="A113" s="16"/>
      <c r="B113" s="16"/>
      <c r="C113" s="16"/>
      <c r="D113" s="4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ht="16.5" customHeight="1">
      <c r="A114" s="16"/>
      <c r="B114" s="16"/>
      <c r="C114" s="16"/>
      <c r="D114" s="4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ht="16.5" customHeight="1">
      <c r="A115" s="16"/>
      <c r="B115" s="16"/>
      <c r="C115" s="16"/>
      <c r="D115" s="4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ht="16.5" customHeight="1">
      <c r="A116" s="16"/>
      <c r="B116" s="16"/>
      <c r="C116" s="16"/>
      <c r="D116" s="4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ht="16.5" customHeight="1">
      <c r="A117" s="16"/>
      <c r="B117" s="16"/>
      <c r="C117" s="16"/>
      <c r="D117" s="4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ht="16.5" customHeight="1">
      <c r="A118" s="16"/>
      <c r="B118" s="16"/>
      <c r="C118" s="16"/>
      <c r="D118" s="4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ht="16.5" customHeight="1">
      <c r="A119" s="16"/>
      <c r="B119" s="16"/>
      <c r="C119" s="16"/>
      <c r="D119" s="4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ht="16.5" customHeight="1">
      <c r="A120" s="16"/>
      <c r="B120" s="16"/>
      <c r="C120" s="16"/>
      <c r="D120" s="4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ht="16.5" customHeight="1">
      <c r="A121" s="16"/>
      <c r="B121" s="16"/>
      <c r="C121" s="16"/>
      <c r="D121" s="4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ht="16.5" customHeight="1">
      <c r="A122" s="16"/>
      <c r="B122" s="16"/>
      <c r="C122" s="16"/>
      <c r="D122" s="4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ht="16.5" customHeight="1">
      <c r="A123" s="16"/>
      <c r="B123" s="16"/>
      <c r="C123" s="16"/>
      <c r="D123" s="4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ht="16.5" customHeight="1">
      <c r="A124" s="16"/>
      <c r="B124" s="16"/>
      <c r="C124" s="16"/>
      <c r="D124" s="4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ht="16.5" customHeight="1">
      <c r="A125" s="16"/>
      <c r="B125" s="16"/>
      <c r="C125" s="16"/>
      <c r="D125" s="4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ht="16.5" customHeight="1">
      <c r="A126" s="16"/>
      <c r="B126" s="16"/>
      <c r="C126" s="16"/>
      <c r="D126" s="4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ht="16.5" customHeight="1">
      <c r="A127" s="16"/>
      <c r="B127" s="16"/>
      <c r="C127" s="16"/>
      <c r="D127" s="4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ht="16.5" customHeight="1">
      <c r="A128" s="16"/>
      <c r="B128" s="16"/>
      <c r="C128" s="16"/>
      <c r="D128" s="4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ht="16.5" customHeight="1">
      <c r="A129" s="16"/>
      <c r="B129" s="16"/>
      <c r="C129" s="16"/>
      <c r="D129" s="4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ht="16.5" customHeight="1">
      <c r="A130" s="16"/>
      <c r="B130" s="16"/>
      <c r="C130" s="16"/>
      <c r="D130" s="4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ht="16.5" customHeight="1">
      <c r="A131" s="16"/>
      <c r="B131" s="16"/>
      <c r="C131" s="16"/>
      <c r="D131" s="4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ht="16.5" customHeight="1">
      <c r="A132" s="16"/>
      <c r="B132" s="16"/>
      <c r="C132" s="16"/>
      <c r="D132" s="4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ht="16.5" customHeight="1">
      <c r="A133" s="16"/>
      <c r="B133" s="16"/>
      <c r="C133" s="16"/>
      <c r="D133" s="4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ht="16.5" customHeight="1">
      <c r="A134" s="16"/>
      <c r="B134" s="16"/>
      <c r="C134" s="16"/>
      <c r="D134" s="4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ht="16.5" customHeight="1">
      <c r="A135" s="16"/>
      <c r="B135" s="16"/>
      <c r="C135" s="16"/>
      <c r="D135" s="4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ht="16.5" customHeight="1">
      <c r="A136" s="16"/>
      <c r="B136" s="16"/>
      <c r="C136" s="16"/>
      <c r="D136" s="4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ht="16.5" customHeight="1">
      <c r="A137" s="16"/>
      <c r="B137" s="16"/>
      <c r="C137" s="16"/>
      <c r="D137" s="4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ht="16.5" customHeight="1">
      <c r="A138" s="16"/>
      <c r="B138" s="16"/>
      <c r="C138" s="16"/>
      <c r="D138" s="4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ht="16.5" customHeight="1">
      <c r="A139" s="16"/>
      <c r="B139" s="16"/>
      <c r="C139" s="16"/>
      <c r="D139" s="4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ht="16.5" customHeight="1">
      <c r="A140" s="16"/>
      <c r="B140" s="16"/>
      <c r="C140" s="16"/>
      <c r="D140" s="4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ht="16.5" customHeight="1">
      <c r="A141" s="16"/>
      <c r="B141" s="16"/>
      <c r="C141" s="16"/>
      <c r="D141" s="4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ht="16.5" customHeight="1">
      <c r="A142" s="16"/>
      <c r="B142" s="16"/>
      <c r="C142" s="16"/>
      <c r="D142" s="4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ht="16.5" customHeight="1">
      <c r="A143" s="16"/>
      <c r="B143" s="16"/>
      <c r="C143" s="16"/>
      <c r="D143" s="4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ht="16.5" customHeight="1">
      <c r="A144" s="16"/>
      <c r="B144" s="16"/>
      <c r="C144" s="16"/>
      <c r="D144" s="4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ht="16.5" customHeight="1">
      <c r="A145" s="16"/>
      <c r="B145" s="16"/>
      <c r="C145" s="16"/>
      <c r="D145" s="4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ht="16.5" customHeight="1">
      <c r="A146" s="16"/>
      <c r="B146" s="16"/>
      <c r="C146" s="16"/>
      <c r="D146" s="4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ht="16.5" customHeight="1">
      <c r="A147" s="16"/>
      <c r="B147" s="16"/>
      <c r="C147" s="16"/>
      <c r="D147" s="4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ht="16.5" customHeight="1">
      <c r="A148" s="16"/>
      <c r="B148" s="16"/>
      <c r="C148" s="16"/>
      <c r="D148" s="4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ht="16.5" customHeight="1">
      <c r="A149" s="16"/>
      <c r="B149" s="16"/>
      <c r="C149" s="16"/>
      <c r="D149" s="4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ht="16.5" customHeight="1">
      <c r="A150" s="16"/>
      <c r="B150" s="16"/>
      <c r="C150" s="16"/>
      <c r="D150" s="4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ht="16.5" customHeight="1">
      <c r="A151" s="16"/>
      <c r="B151" s="16"/>
      <c r="C151" s="16"/>
      <c r="D151" s="4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ht="16.5" customHeight="1">
      <c r="A152" s="16"/>
      <c r="B152" s="16"/>
      <c r="C152" s="16"/>
      <c r="D152" s="4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ht="16.5" customHeight="1">
      <c r="A153" s="16"/>
      <c r="B153" s="16"/>
      <c r="C153" s="16"/>
      <c r="D153" s="4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ht="16.5" customHeight="1">
      <c r="A154" s="16"/>
      <c r="B154" s="16"/>
      <c r="C154" s="16"/>
      <c r="D154" s="4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ht="16.5" customHeight="1">
      <c r="A155" s="16"/>
      <c r="B155" s="16"/>
      <c r="C155" s="16"/>
      <c r="D155" s="4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ht="16.5" customHeight="1">
      <c r="A156" s="16"/>
      <c r="B156" s="16"/>
      <c r="C156" s="16"/>
      <c r="D156" s="4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ht="16.5" customHeight="1">
      <c r="A157" s="16"/>
      <c r="B157" s="16"/>
      <c r="C157" s="16"/>
      <c r="D157" s="4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ht="16.5" customHeight="1">
      <c r="A158" s="16"/>
      <c r="B158" s="16"/>
      <c r="C158" s="16"/>
      <c r="D158" s="4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ht="16.5" customHeight="1">
      <c r="A159" s="16"/>
      <c r="B159" s="16"/>
      <c r="C159" s="16"/>
      <c r="D159" s="4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ht="16.5" customHeight="1">
      <c r="A160" s="16"/>
      <c r="B160" s="16"/>
      <c r="C160" s="16"/>
      <c r="D160" s="4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ht="16.5" customHeight="1">
      <c r="A161" s="16"/>
      <c r="B161" s="16"/>
      <c r="C161" s="16"/>
      <c r="D161" s="4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ht="16.5" customHeight="1">
      <c r="A162" s="16"/>
      <c r="B162" s="16"/>
      <c r="C162" s="16"/>
      <c r="D162" s="4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ht="16.5" customHeight="1">
      <c r="A163" s="16"/>
      <c r="B163" s="16"/>
      <c r="C163" s="16"/>
      <c r="D163" s="4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ht="16.5" customHeight="1">
      <c r="A164" s="16"/>
      <c r="B164" s="16"/>
      <c r="C164" s="16"/>
      <c r="D164" s="4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ht="16.5" customHeight="1">
      <c r="A165" s="16"/>
      <c r="B165" s="16"/>
      <c r="C165" s="16"/>
      <c r="D165" s="4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ht="16.5" customHeight="1">
      <c r="A166" s="16"/>
      <c r="B166" s="16"/>
      <c r="C166" s="16"/>
      <c r="D166" s="4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ht="16.5" customHeight="1">
      <c r="A167" s="16"/>
      <c r="B167" s="16"/>
      <c r="C167" s="16"/>
      <c r="D167" s="4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ht="16.5" customHeight="1">
      <c r="A168" s="16"/>
      <c r="B168" s="16"/>
      <c r="C168" s="16"/>
      <c r="D168" s="4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ht="16.5" customHeight="1">
      <c r="A169" s="16"/>
      <c r="B169" s="16"/>
      <c r="C169" s="16"/>
      <c r="D169" s="4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ht="16.5" customHeight="1">
      <c r="A170" s="16"/>
      <c r="B170" s="16"/>
      <c r="C170" s="16"/>
      <c r="D170" s="4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ht="16.5" customHeight="1">
      <c r="A171" s="16"/>
      <c r="B171" s="16"/>
      <c r="C171" s="16"/>
      <c r="D171" s="4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ht="16.5" customHeight="1">
      <c r="A172" s="16"/>
      <c r="B172" s="16"/>
      <c r="C172" s="16"/>
      <c r="D172" s="4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ht="16.5" customHeight="1">
      <c r="A173" s="16"/>
      <c r="B173" s="16"/>
      <c r="C173" s="16"/>
      <c r="D173" s="4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ht="16.5" customHeight="1">
      <c r="A174" s="16"/>
      <c r="B174" s="16"/>
      <c r="C174" s="16"/>
      <c r="D174" s="4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ht="16.5" customHeight="1">
      <c r="A175" s="16"/>
      <c r="B175" s="16"/>
      <c r="C175" s="16"/>
      <c r="D175" s="4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ht="16.5" customHeight="1">
      <c r="A176" s="16"/>
      <c r="B176" s="16"/>
      <c r="C176" s="16"/>
      <c r="D176" s="4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ht="16.5" customHeight="1">
      <c r="A177" s="16"/>
      <c r="B177" s="16"/>
      <c r="C177" s="16"/>
      <c r="D177" s="4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ht="16.5" customHeight="1">
      <c r="A178" s="16"/>
      <c r="B178" s="16"/>
      <c r="C178" s="16"/>
      <c r="D178" s="4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ht="16.5" customHeight="1">
      <c r="A179" s="16"/>
      <c r="B179" s="16"/>
      <c r="C179" s="16"/>
      <c r="D179" s="4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ht="16.5" customHeight="1">
      <c r="A180" s="16"/>
      <c r="B180" s="16"/>
      <c r="C180" s="16"/>
      <c r="D180" s="4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ht="16.5" customHeight="1">
      <c r="A181" s="16"/>
      <c r="B181" s="16"/>
      <c r="C181" s="16"/>
      <c r="D181" s="4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ht="16.5" customHeight="1">
      <c r="A182" s="16"/>
      <c r="B182" s="16"/>
      <c r="C182" s="16"/>
      <c r="D182" s="4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ht="16.5" customHeight="1">
      <c r="A183" s="16"/>
      <c r="B183" s="16"/>
      <c r="C183" s="16"/>
      <c r="D183" s="4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ht="16.5" customHeight="1">
      <c r="A184" s="16"/>
      <c r="B184" s="16"/>
      <c r="C184" s="16"/>
      <c r="D184" s="4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ht="16.5" customHeight="1">
      <c r="A185" s="16"/>
      <c r="B185" s="16"/>
      <c r="C185" s="16"/>
      <c r="D185" s="4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ht="16.5" customHeight="1">
      <c r="A186" s="16"/>
      <c r="B186" s="16"/>
      <c r="C186" s="16"/>
      <c r="D186" s="4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ht="16.5" customHeight="1">
      <c r="A187" s="16"/>
      <c r="B187" s="16"/>
      <c r="C187" s="16"/>
      <c r="D187" s="4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ht="16.5" customHeight="1">
      <c r="A188" s="16"/>
      <c r="B188" s="16"/>
      <c r="C188" s="16"/>
      <c r="D188" s="4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ht="16.5" customHeight="1">
      <c r="A189" s="16"/>
      <c r="B189" s="16"/>
      <c r="C189" s="16"/>
      <c r="D189" s="4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ht="16.5" customHeight="1">
      <c r="A190" s="16"/>
      <c r="B190" s="16"/>
      <c r="C190" s="16"/>
      <c r="D190" s="4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ht="16.5" customHeight="1">
      <c r="A191" s="16"/>
      <c r="B191" s="16"/>
      <c r="C191" s="16"/>
      <c r="D191" s="4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ht="16.5" customHeight="1">
      <c r="A192" s="16"/>
      <c r="B192" s="16"/>
      <c r="C192" s="16"/>
      <c r="D192" s="4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ht="16.5" customHeight="1">
      <c r="A193" s="16"/>
      <c r="B193" s="16"/>
      <c r="C193" s="16"/>
      <c r="D193" s="4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</sheetData>
  <mergeCells count="12">
    <mergeCell ref="A13:A16"/>
    <mergeCell ref="B12:C12"/>
    <mergeCell ref="B13:C13"/>
    <mergeCell ref="A3:F3"/>
    <mergeCell ref="B5:D5"/>
    <mergeCell ref="B2:C2"/>
    <mergeCell ref="A1:F1"/>
    <mergeCell ref="A11:F11"/>
    <mergeCell ref="D2:E2"/>
    <mergeCell ref="B14:C14"/>
    <mergeCell ref="B15:C15"/>
    <mergeCell ref="B16:C16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7.02734375" customWidth="1"/>
    <col min="2" max="2" width="22.3740234375" customWidth="1"/>
    <col min="3" max="3" width="24.6796875" customWidth="1"/>
    <col min="4" max="4" width="32.736328125" customWidth="1" style="14"/>
    <col min="5" max="5" width="30.3603515625"/>
    <col min="6" max="6" width="34.388671875" customWidth="1"/>
  </cols>
  <sheetData>
    <row r="1" ht="26.25" customHeight="1">
      <c r="A1" s="76" t="s">
        <v>0</v>
      </c>
      <c r="B1" s="71"/>
      <c r="C1" s="71"/>
      <c r="D1" s="23"/>
      <c r="E1" s="71"/>
      <c r="F1" s="86"/>
      <c r="G1" s="2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ht="17.25" customHeight="1">
      <c r="A2" s="93"/>
      <c r="B2" s="94" t="s">
        <v>92</v>
      </c>
      <c r="C2" s="95"/>
      <c r="D2" s="94" t="s">
        <v>82</v>
      </c>
      <c r="E2" s="95"/>
      <c r="F2" s="96"/>
      <c r="G2" s="2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ht="27.75" customHeight="1">
      <c r="A3" s="97" t="s">
        <v>3</v>
      </c>
      <c r="B3" s="98"/>
      <c r="C3" s="98"/>
      <c r="D3" s="104"/>
      <c r="E3" s="98"/>
      <c r="F3" s="99"/>
      <c r="G3" s="20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ht="27.75" customHeight="1">
      <c r="A4" s="77" t="s">
        <v>5</v>
      </c>
      <c r="B4" s="39" t="s">
        <v>6</v>
      </c>
      <c r="C4" s="39" t="s">
        <v>7</v>
      </c>
      <c r="D4" s="39" t="s">
        <v>8</v>
      </c>
      <c r="E4" s="39" t="s">
        <v>9</v>
      </c>
      <c r="F4" s="87" t="s">
        <v>10</v>
      </c>
      <c r="G4" s="20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ht="27.75" customHeight="1">
      <c r="A5" s="78" t="s">
        <v>11</v>
      </c>
      <c r="B5" s="7" t="n">
        <v>48918</v>
      </c>
      <c r="C5" s="6"/>
      <c r="D5" s="6"/>
      <c r="E5" s="10" t="s">
        <v>93</v>
      </c>
      <c r="F5" s="28"/>
      <c r="G5" s="20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27.75" customHeight="1">
      <c r="A6" s="79" t="s">
        <v>12</v>
      </c>
      <c r="B6" s="31" t="n">
        <v>4596</v>
      </c>
      <c r="C6" s="31" t="n">
        <v>5059</v>
      </c>
      <c r="D6" s="31" t="n">
        <f>SUM(B6,C6)</f>
        <v>9655</v>
      </c>
      <c r="E6" s="10" t="s">
        <v>94</v>
      </c>
      <c r="F6" s="89"/>
      <c r="G6" s="20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ht="27.75" customHeight="1">
      <c r="A7" s="80" t="s">
        <v>13</v>
      </c>
      <c r="B7" s="9" t="n">
        <v>0.0842</v>
      </c>
      <c r="C7" s="9" t="n">
        <f>C6/B5*100%</f>
        <v>0.103417964757349</v>
      </c>
      <c r="D7" s="17" t="n">
        <f>D6/B5*100%</f>
        <v>0.197371110838546</v>
      </c>
      <c r="E7" s="10" t="s">
        <v>95</v>
      </c>
      <c r="F7" s="90"/>
      <c r="G7" s="2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ht="27.75" customHeight="1">
      <c r="A8" s="81" t="s">
        <v>15</v>
      </c>
      <c r="B8" s="15" t="n">
        <f>B9/B6</f>
        <v>13.3975696257615</v>
      </c>
      <c r="C8" s="15" t="n">
        <f>C9/C6</f>
        <v>16.2286222573631</v>
      </c>
      <c r="D8" s="15" t="n">
        <f>D9/D6</f>
        <v>14.8809766960124</v>
      </c>
      <c r="E8" s="10" t="s">
        <v>96</v>
      </c>
      <c r="F8" s="22"/>
      <c r="G8" s="2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ht="27.75" customHeight="1">
      <c r="A9" s="100" t="s">
        <v>16</v>
      </c>
      <c r="B9" s="74" t="n">
        <v>61575.23</v>
      </c>
      <c r="C9" s="74" t="n">
        <v>82100.6</v>
      </c>
      <c r="D9" s="74" t="n">
        <f>SUM(B9,C9)</f>
        <v>143675.83</v>
      </c>
      <c r="E9" s="25" t="s">
        <v>97</v>
      </c>
      <c r="F9" s="21"/>
      <c r="G9" s="2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ht="27.75" customHeight="1">
      <c r="A10" s="101"/>
      <c r="B10" s="102"/>
      <c r="C10" s="102"/>
      <c r="D10" s="26"/>
      <c r="E10" s="102"/>
      <c r="F10" s="103"/>
      <c r="G10" s="2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27.75" customHeight="1">
      <c r="A11" s="97" t="s">
        <v>18</v>
      </c>
      <c r="B11" s="104"/>
      <c r="C11" s="104"/>
      <c r="D11" s="104"/>
      <c r="E11" s="104"/>
      <c r="F11" s="105"/>
      <c r="G11" s="2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ht="27.75" customHeight="1">
      <c r="A12" s="82" t="s">
        <v>19</v>
      </c>
      <c r="B12" s="37" t="s">
        <v>88</v>
      </c>
      <c r="C12" s="38"/>
      <c r="D12" s="39" t="s">
        <v>21</v>
      </c>
      <c r="E12" s="39" t="s">
        <v>22</v>
      </c>
      <c r="F12" s="87" t="s">
        <v>10</v>
      </c>
      <c r="G12" s="20"/>
      <c r="H12" s="20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ht="61.916666666666664" customHeight="1">
      <c r="A13" s="83" t="s">
        <v>89</v>
      </c>
      <c r="B13" s="107" t="s">
        <v>90</v>
      </c>
      <c r="C13" s="69"/>
      <c r="D13" s="108" t="s">
        <v>98</v>
      </c>
      <c r="E13" s="44"/>
      <c r="F13" s="18"/>
      <c r="G13" s="20"/>
      <c r="H13" s="20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30.75" customHeight="1">
      <c r="A14" s="84"/>
      <c r="B14" s="70" t="s">
        <v>99</v>
      </c>
      <c r="C14" s="69"/>
      <c r="D14" s="33" t="s">
        <v>100</v>
      </c>
      <c r="E14" s="29" t="s">
        <v>101</v>
      </c>
      <c r="F14" s="11"/>
      <c r="G14" s="20"/>
      <c r="H14" s="20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ht="16.5" customHeight="1">
      <c r="A15" s="84"/>
      <c r="B15" s="70" t="s">
        <v>102</v>
      </c>
      <c r="C15" s="69"/>
      <c r="D15" s="33" t="s">
        <v>103</v>
      </c>
      <c r="E15" s="5" t="s">
        <v>104</v>
      </c>
      <c r="F15" s="11" t="s">
        <v>105</v>
      </c>
      <c r="G15" s="20"/>
      <c r="H15" s="20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ht="27.75" customHeight="1">
      <c r="A16" s="85"/>
      <c r="B16" s="72" t="s">
        <v>106</v>
      </c>
      <c r="C16" s="73"/>
      <c r="D16" s="74" t="s">
        <v>107</v>
      </c>
      <c r="E16" s="75"/>
      <c r="F16" s="92"/>
      <c r="G16" s="20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ht="27.75" customHeight="1">
      <c r="A17" s="97" t="s">
        <v>108</v>
      </c>
      <c r="B17" s="104"/>
      <c r="C17" s="104"/>
      <c r="D17" s="104"/>
      <c r="E17" s="104"/>
      <c r="F17" s="105"/>
      <c r="G17" s="20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ht="16.5" customHeight="1">
      <c r="A18" s="16" t="s">
        <v>109</v>
      </c>
      <c r="B18" s="16" t="s">
        <v>110</v>
      </c>
      <c r="C18" s="16"/>
      <c r="D18" s="30" t="s">
        <v>111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ht="16.5" customHeight="1">
      <c r="A19" s="16"/>
      <c r="B19" s="16"/>
      <c r="C19" s="16"/>
      <c r="D19" s="30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ht="16.5" customHeight="1">
      <c r="A20" s="16"/>
      <c r="B20" s="16"/>
      <c r="C20" s="16"/>
      <c r="D20" s="30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ht="16.5" customHeight="1">
      <c r="A21" s="16"/>
      <c r="B21" s="16"/>
      <c r="C21" s="16"/>
      <c r="D21" s="49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ht="16.5" customHeight="1">
      <c r="A22" s="16"/>
      <c r="B22" s="16"/>
      <c r="C22" s="16"/>
      <c r="D22" s="49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ht="16.5" customHeight="1">
      <c r="A23" s="16"/>
      <c r="B23" s="16"/>
      <c r="C23" s="16"/>
      <c r="D23" s="4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ht="16.5" customHeight="1">
      <c r="A24" s="16"/>
      <c r="B24" s="16"/>
      <c r="C24" s="16"/>
      <c r="D24" s="4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ht="16.5" customHeight="1">
      <c r="A25" s="16"/>
      <c r="B25" s="16"/>
      <c r="C25" s="16"/>
      <c r="D25" s="4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ht="16.5" customHeight="1">
      <c r="A26" s="16"/>
      <c r="B26" s="16"/>
      <c r="C26" s="16"/>
      <c r="D26" s="4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ht="16.5" customHeight="1">
      <c r="A27" s="16"/>
      <c r="B27" s="16"/>
      <c r="C27" s="16"/>
      <c r="D27" s="4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ht="16.5" customHeight="1">
      <c r="A28" s="16"/>
      <c r="B28" s="16"/>
      <c r="C28" s="16"/>
      <c r="D28" s="4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ht="16.5" customHeight="1">
      <c r="A29" s="16"/>
      <c r="B29" s="16"/>
      <c r="C29" s="16"/>
      <c r="D29" s="4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ht="16.5" customHeight="1">
      <c r="A30" s="16"/>
      <c r="B30" s="16"/>
      <c r="C30" s="16"/>
      <c r="D30" s="4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ht="16.5" customHeight="1">
      <c r="A31" s="16"/>
      <c r="B31" s="16"/>
      <c r="C31" s="16"/>
      <c r="D31" s="4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ht="16.5" customHeight="1">
      <c r="A32" s="16"/>
      <c r="B32" s="16"/>
      <c r="C32" s="16"/>
      <c r="D32" s="4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ht="16.5" customHeight="1">
      <c r="A33" s="16"/>
      <c r="B33" s="16"/>
      <c r="C33" s="16"/>
      <c r="D33" s="4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ht="16.5" customHeight="1">
      <c r="A34" s="16"/>
      <c r="B34" s="16"/>
      <c r="C34" s="16"/>
      <c r="D34" s="4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ht="16.5" customHeight="1">
      <c r="A35" s="16"/>
      <c r="B35" s="16"/>
      <c r="C35" s="16"/>
      <c r="D35" s="4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ht="16.5" customHeight="1">
      <c r="A36" s="16"/>
      <c r="B36" s="16"/>
      <c r="C36" s="16"/>
      <c r="D36" s="4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ht="16.5" customHeight="1">
      <c r="A37" s="16"/>
      <c r="B37" s="16"/>
      <c r="C37" s="16"/>
      <c r="D37" s="4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ht="16.5" customHeight="1">
      <c r="A38" s="16"/>
      <c r="B38" s="16"/>
      <c r="C38" s="16"/>
      <c r="D38" s="4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ht="16.5" customHeight="1">
      <c r="A39" s="16"/>
      <c r="B39" s="16"/>
      <c r="C39" s="16"/>
      <c r="D39" s="4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ht="16.5" customHeight="1">
      <c r="A40" s="16"/>
      <c r="B40" s="16"/>
      <c r="C40" s="16"/>
      <c r="D40" s="4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ht="16.5" customHeight="1">
      <c r="A41" s="16"/>
      <c r="B41" s="16"/>
      <c r="C41" s="16"/>
      <c r="D41" s="4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ht="16.5" customHeight="1">
      <c r="A42" s="16"/>
      <c r="B42" s="16"/>
      <c r="C42" s="16"/>
      <c r="D42" s="4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ht="16.5" customHeight="1">
      <c r="A43" s="16"/>
      <c r="B43" s="16"/>
      <c r="C43" s="16"/>
      <c r="D43" s="4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ht="16.5" customHeight="1">
      <c r="A44" s="16"/>
      <c r="B44" s="16"/>
      <c r="C44" s="16"/>
      <c r="D44" s="4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ht="16.5" customHeight="1">
      <c r="A45" s="16"/>
      <c r="B45" s="16"/>
      <c r="C45" s="16"/>
      <c r="D45" s="4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ht="16.5" customHeight="1">
      <c r="A46" s="16"/>
      <c r="B46" s="16"/>
      <c r="C46" s="16"/>
      <c r="D46" s="4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ht="16.5" customHeight="1">
      <c r="A47" s="16"/>
      <c r="B47" s="16"/>
      <c r="C47" s="16"/>
      <c r="D47" s="4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ht="16.5" customHeight="1">
      <c r="A48" s="16"/>
      <c r="B48" s="16"/>
      <c r="C48" s="16"/>
      <c r="D48" s="4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ht="16.5" customHeight="1">
      <c r="A49" s="16"/>
      <c r="B49" s="16"/>
      <c r="C49" s="16"/>
      <c r="D49" s="4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ht="16.5" customHeight="1">
      <c r="A50" s="16"/>
      <c r="B50" s="16"/>
      <c r="C50" s="16"/>
      <c r="D50" s="4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ht="16.5" customHeight="1">
      <c r="A51" s="16"/>
      <c r="B51" s="16"/>
      <c r="C51" s="16"/>
      <c r="D51" s="4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ht="16.5" customHeight="1">
      <c r="A52" s="16"/>
      <c r="B52" s="16"/>
      <c r="C52" s="16"/>
      <c r="D52" s="4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ht="16.5" customHeight="1">
      <c r="A53" s="16"/>
      <c r="B53" s="16"/>
      <c r="C53" s="16"/>
      <c r="D53" s="4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ht="16.5" customHeight="1">
      <c r="A54" s="16"/>
      <c r="B54" s="16"/>
      <c r="C54" s="16"/>
      <c r="D54" s="4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ht="16.5" customHeight="1">
      <c r="A55" s="16"/>
      <c r="B55" s="16"/>
      <c r="C55" s="16"/>
      <c r="D55" s="4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ht="16.5" customHeight="1">
      <c r="A56" s="16"/>
      <c r="B56" s="16"/>
      <c r="C56" s="16"/>
      <c r="D56" s="4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ht="16.5" customHeight="1">
      <c r="A57" s="16"/>
      <c r="B57" s="16"/>
      <c r="C57" s="16"/>
      <c r="D57" s="4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ht="16.5" customHeight="1">
      <c r="A58" s="16"/>
      <c r="B58" s="16"/>
      <c r="C58" s="16"/>
      <c r="D58" s="4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ht="16.5" customHeight="1">
      <c r="A59" s="16"/>
      <c r="B59" s="16"/>
      <c r="C59" s="16"/>
      <c r="D59" s="4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ht="16.5" customHeight="1">
      <c r="A60" s="16"/>
      <c r="B60" s="16"/>
      <c r="C60" s="16"/>
      <c r="D60" s="4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ht="16.5" customHeight="1">
      <c r="A61" s="16"/>
      <c r="B61" s="16"/>
      <c r="C61" s="16"/>
      <c r="D61" s="4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ht="16.5" customHeight="1">
      <c r="A62" s="16"/>
      <c r="B62" s="16"/>
      <c r="C62" s="16"/>
      <c r="D62" s="4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ht="16.5" customHeight="1">
      <c r="A63" s="16"/>
      <c r="B63" s="16"/>
      <c r="C63" s="16"/>
      <c r="D63" s="4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ht="16.5" customHeight="1">
      <c r="A64" s="16"/>
      <c r="B64" s="16"/>
      <c r="C64" s="16"/>
      <c r="D64" s="4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ht="16.5" customHeight="1">
      <c r="A65" s="16"/>
      <c r="B65" s="16"/>
      <c r="C65" s="16"/>
      <c r="D65" s="4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ht="16.5" customHeight="1">
      <c r="A66" s="16"/>
      <c r="B66" s="16"/>
      <c r="C66" s="16"/>
      <c r="D66" s="4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ht="16.5" customHeight="1">
      <c r="A67" s="16"/>
      <c r="B67" s="16"/>
      <c r="C67" s="16"/>
      <c r="D67" s="4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ht="16.5" customHeight="1">
      <c r="A68" s="16"/>
      <c r="B68" s="16"/>
      <c r="C68" s="16"/>
      <c r="D68" s="4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ht="16.5" customHeight="1">
      <c r="A69" s="16"/>
      <c r="B69" s="16"/>
      <c r="C69" s="16"/>
      <c r="D69" s="4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ht="16.5" customHeight="1">
      <c r="A70" s="16"/>
      <c r="B70" s="16"/>
      <c r="C70" s="16"/>
      <c r="D70" s="4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ht="16.5" customHeight="1">
      <c r="A71" s="16"/>
      <c r="B71" s="16"/>
      <c r="C71" s="16"/>
      <c r="D71" s="4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ht="16.5" customHeight="1">
      <c r="A72" s="16"/>
      <c r="B72" s="16"/>
      <c r="C72" s="16"/>
      <c r="D72" s="4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ht="16.5" customHeight="1">
      <c r="A73" s="16"/>
      <c r="B73" s="16"/>
      <c r="C73" s="16"/>
      <c r="D73" s="4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ht="16.5" customHeight="1">
      <c r="A74" s="16"/>
      <c r="B74" s="16"/>
      <c r="C74" s="16"/>
      <c r="D74" s="4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ht="16.5" customHeight="1">
      <c r="A75" s="16"/>
      <c r="B75" s="16"/>
      <c r="C75" s="16"/>
      <c r="D75" s="4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ht="16.5" customHeight="1">
      <c r="A76" s="16"/>
      <c r="B76" s="16"/>
      <c r="C76" s="16"/>
      <c r="D76" s="4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ht="16.5" customHeight="1">
      <c r="A77" s="16"/>
      <c r="B77" s="16"/>
      <c r="C77" s="16"/>
      <c r="D77" s="4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ht="16.5" customHeight="1">
      <c r="A78" s="16"/>
      <c r="B78" s="16"/>
      <c r="C78" s="16"/>
      <c r="D78" s="4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ht="16.5" customHeight="1">
      <c r="A79" s="16"/>
      <c r="B79" s="16"/>
      <c r="C79" s="16"/>
      <c r="D79" s="4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ht="16.5" customHeight="1">
      <c r="A80" s="16"/>
      <c r="B80" s="16"/>
      <c r="C80" s="16"/>
      <c r="D80" s="4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ht="16.5" customHeight="1">
      <c r="A81" s="16"/>
      <c r="B81" s="16"/>
      <c r="C81" s="16"/>
      <c r="D81" s="4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ht="16.5" customHeight="1">
      <c r="A82" s="16"/>
      <c r="B82" s="16"/>
      <c r="C82" s="16"/>
      <c r="D82" s="4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ht="16.5" customHeight="1">
      <c r="A83" s="16"/>
      <c r="B83" s="16"/>
      <c r="C83" s="16"/>
      <c r="D83" s="4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ht="16.5" customHeight="1">
      <c r="A84" s="16"/>
      <c r="B84" s="16"/>
      <c r="C84" s="16"/>
      <c r="D84" s="4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ht="16.5" customHeight="1">
      <c r="A85" s="16"/>
      <c r="B85" s="16"/>
      <c r="C85" s="16"/>
      <c r="D85" s="4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ht="16.5" customHeight="1">
      <c r="A86" s="16"/>
      <c r="B86" s="16"/>
      <c r="C86" s="16"/>
      <c r="D86" s="4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ht="16.5" customHeight="1">
      <c r="A87" s="16"/>
      <c r="B87" s="16"/>
      <c r="C87" s="16"/>
      <c r="D87" s="4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ht="16.5" customHeight="1">
      <c r="A88" s="16"/>
      <c r="B88" s="16"/>
      <c r="C88" s="16"/>
      <c r="D88" s="4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ht="16.5" customHeight="1">
      <c r="A89" s="16"/>
      <c r="B89" s="16"/>
      <c r="C89" s="16"/>
      <c r="D89" s="4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ht="16.5" customHeight="1">
      <c r="A90" s="16"/>
      <c r="B90" s="16"/>
      <c r="C90" s="16"/>
      <c r="D90" s="4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ht="16.5" customHeight="1">
      <c r="A91" s="16"/>
      <c r="B91" s="16"/>
      <c r="C91" s="16"/>
      <c r="D91" s="4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ht="16.5" customHeight="1">
      <c r="A92" s="16"/>
      <c r="B92" s="16"/>
      <c r="C92" s="16"/>
      <c r="D92" s="4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ht="16.5" customHeight="1">
      <c r="A93" s="16"/>
      <c r="B93" s="16"/>
      <c r="C93" s="16"/>
      <c r="D93" s="4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ht="16.5" customHeight="1">
      <c r="A94" s="16"/>
      <c r="B94" s="16"/>
      <c r="C94" s="16"/>
      <c r="D94" s="4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ht="16.5" customHeight="1">
      <c r="A95" s="16"/>
      <c r="B95" s="16"/>
      <c r="C95" s="16"/>
      <c r="D95" s="4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ht="16.5" customHeight="1">
      <c r="A96" s="16"/>
      <c r="B96" s="16"/>
      <c r="C96" s="16"/>
      <c r="D96" s="4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ht="16.5" customHeight="1">
      <c r="A97" s="16"/>
      <c r="B97" s="16"/>
      <c r="C97" s="16"/>
      <c r="D97" s="4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ht="16.5" customHeight="1">
      <c r="A98" s="16"/>
      <c r="B98" s="16"/>
      <c r="C98" s="16"/>
      <c r="D98" s="4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ht="16.5" customHeight="1">
      <c r="A99" s="16"/>
      <c r="B99" s="16"/>
      <c r="C99" s="16"/>
      <c r="D99" s="4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ht="16.5" customHeight="1">
      <c r="A100" s="16"/>
      <c r="B100" s="16"/>
      <c r="C100" s="16"/>
      <c r="D100" s="4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ht="16.5" customHeight="1">
      <c r="A101" s="16"/>
      <c r="B101" s="16"/>
      <c r="C101" s="16"/>
      <c r="D101" s="4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ht="16.5" customHeight="1">
      <c r="A102" s="16"/>
      <c r="B102" s="16"/>
      <c r="C102" s="16"/>
      <c r="D102" s="4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ht="16.5" customHeight="1">
      <c r="A103" s="16"/>
      <c r="B103" s="16"/>
      <c r="C103" s="16"/>
      <c r="D103" s="4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ht="16.5" customHeight="1">
      <c r="A104" s="16"/>
      <c r="B104" s="16"/>
      <c r="C104" s="16"/>
      <c r="D104" s="4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ht="16.5" customHeight="1">
      <c r="A105" s="16"/>
      <c r="B105" s="16"/>
      <c r="C105" s="16"/>
      <c r="D105" s="4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ht="16.5" customHeight="1">
      <c r="A106" s="16"/>
      <c r="B106" s="16"/>
      <c r="C106" s="16"/>
      <c r="D106" s="4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ht="16.5" customHeight="1">
      <c r="A107" s="16"/>
      <c r="B107" s="16"/>
      <c r="C107" s="16"/>
      <c r="D107" s="4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ht="16.5" customHeight="1">
      <c r="A108" s="16"/>
      <c r="B108" s="16"/>
      <c r="C108" s="16"/>
      <c r="D108" s="4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ht="16.5" customHeight="1">
      <c r="A109" s="16"/>
      <c r="B109" s="16"/>
      <c r="C109" s="16"/>
      <c r="D109" s="4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ht="16.5" customHeight="1">
      <c r="A110" s="16"/>
      <c r="B110" s="16"/>
      <c r="C110" s="16"/>
      <c r="D110" s="4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ht="16.5" customHeight="1">
      <c r="A111" s="16"/>
      <c r="B111" s="16"/>
      <c r="C111" s="16"/>
      <c r="D111" s="4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ht="16.5" customHeight="1">
      <c r="A112" s="16"/>
      <c r="B112" s="16"/>
      <c r="C112" s="16"/>
      <c r="D112" s="4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ht="16.5" customHeight="1">
      <c r="A113" s="16"/>
      <c r="B113" s="16"/>
      <c r="C113" s="16"/>
      <c r="D113" s="4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ht="16.5" customHeight="1">
      <c r="A114" s="16"/>
      <c r="B114" s="16"/>
      <c r="C114" s="16"/>
      <c r="D114" s="4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ht="16.5" customHeight="1">
      <c r="A115" s="16"/>
      <c r="B115" s="16"/>
      <c r="C115" s="16"/>
      <c r="D115" s="4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ht="16.5" customHeight="1">
      <c r="A116" s="16"/>
      <c r="B116" s="16"/>
      <c r="C116" s="16"/>
      <c r="D116" s="4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ht="16.5" customHeight="1">
      <c r="A117" s="16"/>
      <c r="B117" s="16"/>
      <c r="C117" s="16"/>
      <c r="D117" s="4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ht="16.5" customHeight="1">
      <c r="A118" s="16"/>
      <c r="B118" s="16"/>
      <c r="C118" s="16"/>
      <c r="D118" s="4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ht="16.5" customHeight="1">
      <c r="A119" s="16"/>
      <c r="B119" s="16"/>
      <c r="C119" s="16"/>
      <c r="D119" s="4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ht="16.5" customHeight="1">
      <c r="A120" s="16"/>
      <c r="B120" s="16"/>
      <c r="C120" s="16"/>
      <c r="D120" s="4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ht="16.5" customHeight="1">
      <c r="A121" s="16"/>
      <c r="B121" s="16"/>
      <c r="C121" s="16"/>
      <c r="D121" s="4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ht="16.5" customHeight="1">
      <c r="A122" s="16"/>
      <c r="B122" s="16"/>
      <c r="C122" s="16"/>
      <c r="D122" s="4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ht="16.5" customHeight="1">
      <c r="A123" s="16"/>
      <c r="B123" s="16"/>
      <c r="C123" s="16"/>
      <c r="D123" s="4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ht="16.5" customHeight="1">
      <c r="A124" s="16"/>
      <c r="B124" s="16"/>
      <c r="C124" s="16"/>
      <c r="D124" s="4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ht="16.5" customHeight="1">
      <c r="A125" s="16"/>
      <c r="B125" s="16"/>
      <c r="C125" s="16"/>
      <c r="D125" s="4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ht="16.5" customHeight="1">
      <c r="A126" s="16"/>
      <c r="B126" s="16"/>
      <c r="C126" s="16"/>
      <c r="D126" s="4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ht="16.5" customHeight="1">
      <c r="A127" s="16"/>
      <c r="B127" s="16"/>
      <c r="C127" s="16"/>
      <c r="D127" s="4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ht="16.5" customHeight="1">
      <c r="A128" s="16"/>
      <c r="B128" s="16"/>
      <c r="C128" s="16"/>
      <c r="D128" s="4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ht="16.5" customHeight="1">
      <c r="A129" s="16"/>
      <c r="B129" s="16"/>
      <c r="C129" s="16"/>
      <c r="D129" s="4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ht="16.5" customHeight="1">
      <c r="A130" s="16"/>
      <c r="B130" s="16"/>
      <c r="C130" s="16"/>
      <c r="D130" s="4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ht="16.5" customHeight="1">
      <c r="A131" s="16"/>
      <c r="B131" s="16"/>
      <c r="C131" s="16"/>
      <c r="D131" s="4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ht="16.5" customHeight="1">
      <c r="A132" s="16"/>
      <c r="B132" s="16"/>
      <c r="C132" s="16"/>
      <c r="D132" s="4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ht="16.5" customHeight="1">
      <c r="A133" s="16"/>
      <c r="B133" s="16"/>
      <c r="C133" s="16"/>
      <c r="D133" s="4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ht="16.5" customHeight="1">
      <c r="A134" s="16"/>
      <c r="B134" s="16"/>
      <c r="C134" s="16"/>
      <c r="D134" s="4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ht="16.5" customHeight="1">
      <c r="A135" s="16"/>
      <c r="B135" s="16"/>
      <c r="C135" s="16"/>
      <c r="D135" s="4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ht="16.5" customHeight="1">
      <c r="A136" s="16"/>
      <c r="B136" s="16"/>
      <c r="C136" s="16"/>
      <c r="D136" s="4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ht="16.5" customHeight="1">
      <c r="A137" s="16"/>
      <c r="B137" s="16"/>
      <c r="C137" s="16"/>
      <c r="D137" s="4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ht="16.5" customHeight="1">
      <c r="A138" s="16"/>
      <c r="B138" s="16"/>
      <c r="C138" s="16"/>
      <c r="D138" s="4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ht="16.5" customHeight="1">
      <c r="A139" s="16"/>
      <c r="B139" s="16"/>
      <c r="C139" s="16"/>
      <c r="D139" s="4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ht="16.5" customHeight="1">
      <c r="A140" s="16"/>
      <c r="B140" s="16"/>
      <c r="C140" s="16"/>
      <c r="D140" s="4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ht="16.5" customHeight="1">
      <c r="A141" s="16"/>
      <c r="B141" s="16"/>
      <c r="C141" s="16"/>
      <c r="D141" s="4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ht="16.5" customHeight="1">
      <c r="A142" s="16"/>
      <c r="B142" s="16"/>
      <c r="C142" s="16"/>
      <c r="D142" s="4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ht="16.5" customHeight="1">
      <c r="A143" s="16"/>
      <c r="B143" s="16"/>
      <c r="C143" s="16"/>
      <c r="D143" s="4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ht="16.5" customHeight="1">
      <c r="A144" s="16"/>
      <c r="B144" s="16"/>
      <c r="C144" s="16"/>
      <c r="D144" s="4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ht="16.5" customHeight="1">
      <c r="A145" s="16"/>
      <c r="B145" s="16"/>
      <c r="C145" s="16"/>
      <c r="D145" s="4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ht="16.5" customHeight="1">
      <c r="A146" s="16"/>
      <c r="B146" s="16"/>
      <c r="C146" s="16"/>
      <c r="D146" s="4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ht="16.5" customHeight="1">
      <c r="A147" s="16"/>
      <c r="B147" s="16"/>
      <c r="C147" s="16"/>
      <c r="D147" s="4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ht="16.5" customHeight="1">
      <c r="A148" s="16"/>
      <c r="B148" s="16"/>
      <c r="C148" s="16"/>
      <c r="D148" s="4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ht="16.5" customHeight="1">
      <c r="A149" s="16"/>
      <c r="B149" s="16"/>
      <c r="C149" s="16"/>
      <c r="D149" s="4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ht="16.5" customHeight="1">
      <c r="A150" s="16"/>
      <c r="B150" s="16"/>
      <c r="C150" s="16"/>
      <c r="D150" s="4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ht="16.5" customHeight="1">
      <c r="A151" s="16"/>
      <c r="B151" s="16"/>
      <c r="C151" s="16"/>
      <c r="D151" s="4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ht="16.5" customHeight="1">
      <c r="A152" s="16"/>
      <c r="B152" s="16"/>
      <c r="C152" s="16"/>
      <c r="D152" s="4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ht="16.5" customHeight="1">
      <c r="A153" s="16"/>
      <c r="B153" s="16"/>
      <c r="C153" s="16"/>
      <c r="D153" s="4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ht="16.5" customHeight="1">
      <c r="A154" s="16"/>
      <c r="B154" s="16"/>
      <c r="C154" s="16"/>
      <c r="D154" s="4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ht="16.5" customHeight="1">
      <c r="A155" s="16"/>
      <c r="B155" s="16"/>
      <c r="C155" s="16"/>
      <c r="D155" s="4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ht="16.5" customHeight="1">
      <c r="A156" s="16"/>
      <c r="B156" s="16"/>
      <c r="C156" s="16"/>
      <c r="D156" s="4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ht="16.5" customHeight="1">
      <c r="A157" s="16"/>
      <c r="B157" s="16"/>
      <c r="C157" s="16"/>
      <c r="D157" s="4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ht="16.5" customHeight="1">
      <c r="A158" s="16"/>
      <c r="B158" s="16"/>
      <c r="C158" s="16"/>
      <c r="D158" s="4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ht="16.5" customHeight="1">
      <c r="A159" s="16"/>
      <c r="B159" s="16"/>
      <c r="C159" s="16"/>
      <c r="D159" s="4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ht="16.5" customHeight="1">
      <c r="A160" s="16"/>
      <c r="B160" s="16"/>
      <c r="C160" s="16"/>
      <c r="D160" s="4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ht="16.5" customHeight="1">
      <c r="A161" s="16"/>
      <c r="B161" s="16"/>
      <c r="C161" s="16"/>
      <c r="D161" s="4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ht="16.5" customHeight="1">
      <c r="A162" s="16"/>
      <c r="B162" s="16"/>
      <c r="C162" s="16"/>
      <c r="D162" s="4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ht="16.5" customHeight="1">
      <c r="A163" s="16"/>
      <c r="B163" s="16"/>
      <c r="C163" s="16"/>
      <c r="D163" s="4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ht="16.5" customHeight="1">
      <c r="A164" s="16"/>
      <c r="B164" s="16"/>
      <c r="C164" s="16"/>
      <c r="D164" s="4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ht="16.5" customHeight="1">
      <c r="A165" s="16"/>
      <c r="B165" s="16"/>
      <c r="C165" s="16"/>
      <c r="D165" s="4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ht="16.5" customHeight="1">
      <c r="A166" s="16"/>
      <c r="B166" s="16"/>
      <c r="C166" s="16"/>
      <c r="D166" s="4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ht="16.5" customHeight="1">
      <c r="A167" s="16"/>
      <c r="B167" s="16"/>
      <c r="C167" s="16"/>
      <c r="D167" s="4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ht="16.5" customHeight="1">
      <c r="A168" s="16"/>
      <c r="B168" s="16"/>
      <c r="C168" s="16"/>
      <c r="D168" s="4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ht="16.5" customHeight="1">
      <c r="A169" s="16"/>
      <c r="B169" s="16"/>
      <c r="C169" s="16"/>
      <c r="D169" s="4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ht="16.5" customHeight="1">
      <c r="A170" s="16"/>
      <c r="B170" s="16"/>
      <c r="C170" s="16"/>
      <c r="D170" s="4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ht="16.5" customHeight="1">
      <c r="A171" s="16"/>
      <c r="B171" s="16"/>
      <c r="C171" s="16"/>
      <c r="D171" s="4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ht="16.5" customHeight="1">
      <c r="A172" s="16"/>
      <c r="B172" s="16"/>
      <c r="C172" s="16"/>
      <c r="D172" s="4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ht="16.5" customHeight="1">
      <c r="A173" s="16"/>
      <c r="B173" s="16"/>
      <c r="C173" s="16"/>
      <c r="D173" s="4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ht="16.5" customHeight="1">
      <c r="A174" s="16"/>
      <c r="B174" s="16"/>
      <c r="C174" s="16"/>
      <c r="D174" s="4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ht="16.5" customHeight="1">
      <c r="A175" s="16"/>
      <c r="B175" s="16"/>
      <c r="C175" s="16"/>
      <c r="D175" s="4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ht="16.5" customHeight="1">
      <c r="A176" s="16"/>
      <c r="B176" s="16"/>
      <c r="C176" s="16"/>
      <c r="D176" s="4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ht="16.5" customHeight="1">
      <c r="A177" s="16"/>
      <c r="B177" s="16"/>
      <c r="C177" s="16"/>
      <c r="D177" s="4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ht="16.5" customHeight="1">
      <c r="A178" s="16"/>
      <c r="B178" s="16"/>
      <c r="C178" s="16"/>
      <c r="D178" s="4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ht="16.5" customHeight="1">
      <c r="A179" s="16"/>
      <c r="B179" s="16"/>
      <c r="C179" s="16"/>
      <c r="D179" s="4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ht="16.5" customHeight="1">
      <c r="A180" s="16"/>
      <c r="B180" s="16"/>
      <c r="C180" s="16"/>
      <c r="D180" s="4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ht="16.5" customHeight="1">
      <c r="A181" s="16"/>
      <c r="B181" s="16"/>
      <c r="C181" s="16"/>
      <c r="D181" s="4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ht="16.5" customHeight="1">
      <c r="A182" s="16"/>
      <c r="B182" s="16"/>
      <c r="C182" s="16"/>
      <c r="D182" s="4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ht="16.5" customHeight="1">
      <c r="A183" s="16"/>
      <c r="B183" s="16"/>
      <c r="C183" s="16"/>
      <c r="D183" s="4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ht="16.5" customHeight="1">
      <c r="A184" s="16"/>
      <c r="B184" s="16"/>
      <c r="C184" s="16"/>
      <c r="D184" s="4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ht="16.5" customHeight="1">
      <c r="A185" s="16"/>
      <c r="B185" s="16"/>
      <c r="C185" s="16"/>
      <c r="D185" s="4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ht="16.5" customHeight="1">
      <c r="A186" s="16"/>
      <c r="B186" s="16"/>
      <c r="C186" s="16"/>
      <c r="D186" s="4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ht="16.5" customHeight="1">
      <c r="A187" s="16"/>
      <c r="B187" s="16"/>
      <c r="C187" s="16"/>
      <c r="D187" s="4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ht="16.5" customHeight="1">
      <c r="A188" s="16"/>
      <c r="B188" s="16"/>
      <c r="C188" s="16"/>
      <c r="D188" s="4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ht="16.5" customHeight="1">
      <c r="A189" s="16"/>
      <c r="B189" s="16"/>
      <c r="C189" s="16"/>
      <c r="D189" s="4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ht="16.5" customHeight="1">
      <c r="A190" s="16"/>
      <c r="B190" s="16"/>
      <c r="C190" s="16"/>
      <c r="D190" s="4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ht="16.5" customHeight="1">
      <c r="A191" s="16"/>
      <c r="B191" s="16"/>
      <c r="C191" s="16"/>
      <c r="D191" s="4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ht="16.5" customHeight="1">
      <c r="A192" s="16"/>
      <c r="B192" s="16"/>
      <c r="C192" s="16"/>
      <c r="D192" s="4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ht="16.5" customHeight="1">
      <c r="A193" s="16"/>
      <c r="B193" s="16"/>
      <c r="C193" s="16"/>
      <c r="D193" s="4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  <row r="194" ht="16.5" customHeight="1">
      <c r="A194" s="16"/>
      <c r="B194" s="16"/>
      <c r="C194" s="16"/>
      <c r="D194" s="4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</row>
    <row r="195" ht="16.5" customHeight="1">
      <c r="A195" s="16"/>
      <c r="B195" s="16"/>
      <c r="C195" s="16"/>
      <c r="D195" s="49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</row>
  </sheetData>
  <mergeCells count="13">
    <mergeCell ref="A1:F1"/>
    <mergeCell ref="A11:F11"/>
    <mergeCell ref="D2:E2"/>
    <mergeCell ref="B14:C14"/>
    <mergeCell ref="B15:C15"/>
    <mergeCell ref="B16:C16"/>
    <mergeCell ref="A13:A16"/>
    <mergeCell ref="B12:C12"/>
    <mergeCell ref="B13:C13"/>
    <mergeCell ref="A3:F3"/>
    <mergeCell ref="B5:D5"/>
    <mergeCell ref="B2:C2"/>
    <mergeCell ref="A17:F17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7.02734375" customWidth="1"/>
    <col min="2" max="2" width="22.3740234375" customWidth="1"/>
    <col min="3" max="3" width="24.6796875" customWidth="1"/>
    <col min="4" max="4" width="32.736328125" customWidth="1" style="14"/>
    <col min="5" max="5" width="30.3603515625"/>
    <col min="6" max="6" width="34.388671875" customWidth="1"/>
  </cols>
  <sheetData>
    <row r="1" ht="26.25" customHeight="1">
      <c r="A1" s="76" t="s">
        <v>0</v>
      </c>
      <c r="B1" s="71"/>
      <c r="C1" s="71"/>
      <c r="D1" s="23"/>
      <c r="E1" s="71"/>
      <c r="F1" s="86"/>
      <c r="G1" s="2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ht="17.25" customHeight="1">
      <c r="A2" s="93"/>
      <c r="B2" s="94" t="s">
        <v>112</v>
      </c>
      <c r="C2" s="95"/>
      <c r="D2" s="94" t="s">
        <v>82</v>
      </c>
      <c r="E2" s="95"/>
      <c r="F2" s="96"/>
      <c r="G2" s="2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ht="27.75" customHeight="1">
      <c r="A3" s="97" t="s">
        <v>3</v>
      </c>
      <c r="B3" s="98"/>
      <c r="C3" s="98"/>
      <c r="D3" s="104"/>
      <c r="E3" s="98"/>
      <c r="F3" s="99"/>
      <c r="G3" s="20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ht="27.75" customHeight="1">
      <c r="A4" s="77" t="s">
        <v>5</v>
      </c>
      <c r="B4" s="39" t="s">
        <v>6</v>
      </c>
      <c r="C4" s="39" t="s">
        <v>7</v>
      </c>
      <c r="D4" s="39" t="s">
        <v>8</v>
      </c>
      <c r="E4" s="39" t="s">
        <v>9</v>
      </c>
      <c r="F4" s="87" t="s">
        <v>10</v>
      </c>
      <c r="G4" s="20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ht="27.75" customHeight="1">
      <c r="A5" s="78" t="s">
        <v>11</v>
      </c>
      <c r="B5" s="7" t="n">
        <v>50405</v>
      </c>
      <c r="C5" s="6"/>
      <c r="D5" s="6"/>
      <c r="E5" s="24" t="s">
        <v>113</v>
      </c>
      <c r="F5" s="28"/>
      <c r="G5" s="20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27.75" customHeight="1">
      <c r="A6" s="79" t="s">
        <v>12</v>
      </c>
      <c r="B6" s="31" t="n">
        <v>4819</v>
      </c>
      <c r="C6" s="31" t="n">
        <v>5530</v>
      </c>
      <c r="D6" s="31" t="n">
        <f>SUM(B6,C6)</f>
        <v>10349</v>
      </c>
      <c r="E6" s="24" t="s">
        <v>114</v>
      </c>
      <c r="F6" s="89"/>
      <c r="G6" s="20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ht="27.75" customHeight="1">
      <c r="A7" s="80" t="s">
        <v>13</v>
      </c>
      <c r="B7" s="9" t="n">
        <v>0.0859</v>
      </c>
      <c r="C7" s="9" t="n">
        <f>C6/B5*100%</f>
        <v>0.109711338160897</v>
      </c>
      <c r="D7" s="17" t="n">
        <f>D6/B5*100%</f>
        <v>0.205316932843964</v>
      </c>
      <c r="E7" s="24" t="s">
        <v>115</v>
      </c>
      <c r="F7" s="90"/>
      <c r="G7" s="2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ht="27.75" customHeight="1">
      <c r="A8" s="81" t="s">
        <v>15</v>
      </c>
      <c r="B8" s="15" t="n">
        <f>B9/B6</f>
        <v>14.7081469184478</v>
      </c>
      <c r="C8" s="15" t="n">
        <f>C9/C6</f>
        <v>16.5349909584087</v>
      </c>
      <c r="D8" s="15" t="n">
        <f>D9/D6</f>
        <v>15.6843231230071</v>
      </c>
      <c r="E8" s="24" t="s">
        <v>116</v>
      </c>
      <c r="F8" s="22"/>
      <c r="G8" s="2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ht="27.75" customHeight="1">
      <c r="A9" s="100" t="s">
        <v>16</v>
      </c>
      <c r="B9" s="74" t="n">
        <v>70878.56</v>
      </c>
      <c r="C9" s="74" t="n">
        <v>91438.5</v>
      </c>
      <c r="D9" s="74" t="n">
        <f>SUM(B9,C9)</f>
        <v>162317.06</v>
      </c>
      <c r="E9" s="12" t="s">
        <v>117</v>
      </c>
      <c r="F9" s="21"/>
      <c r="G9" s="2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ht="27.75" customHeight="1">
      <c r="A10" s="101"/>
      <c r="B10" s="102"/>
      <c r="C10" s="102"/>
      <c r="D10" s="26"/>
      <c r="E10" s="102"/>
      <c r="F10" s="103"/>
      <c r="G10" s="2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27.75" customHeight="1">
      <c r="A11" s="97" t="s">
        <v>18</v>
      </c>
      <c r="B11" s="104"/>
      <c r="C11" s="104"/>
      <c r="D11" s="104"/>
      <c r="E11" s="104"/>
      <c r="F11" s="105"/>
      <c r="G11" s="2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ht="27.75" customHeight="1">
      <c r="A12" s="82" t="s">
        <v>19</v>
      </c>
      <c r="B12" s="37" t="s">
        <v>88</v>
      </c>
      <c r="C12" s="38"/>
      <c r="D12" s="39" t="s">
        <v>21</v>
      </c>
      <c r="E12" s="39" t="s">
        <v>22</v>
      </c>
      <c r="F12" s="87" t="s">
        <v>10</v>
      </c>
      <c r="G12" s="20"/>
      <c r="H12" s="20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ht="61.916666666666664" customHeight="1">
      <c r="A13" s="83" t="s">
        <v>89</v>
      </c>
      <c r="B13" s="109" t="s">
        <v>90</v>
      </c>
      <c r="C13" s="69"/>
      <c r="D13" s="29" t="s">
        <v>118</v>
      </c>
      <c r="E13" s="44"/>
      <c r="F13" s="18"/>
      <c r="G13" s="20"/>
      <c r="H13" s="20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30.75" customHeight="1">
      <c r="A14" s="84"/>
      <c r="B14" s="70" t="s">
        <v>99</v>
      </c>
      <c r="C14" s="69"/>
      <c r="D14" s="33" t="s">
        <v>100</v>
      </c>
      <c r="E14" s="29" t="s">
        <v>101</v>
      </c>
      <c r="F14" s="11"/>
      <c r="G14" s="20"/>
      <c r="H14" s="20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ht="16.5" customHeight="1">
      <c r="A15" s="84"/>
      <c r="B15" s="70" t="s">
        <v>102</v>
      </c>
      <c r="C15" s="69"/>
      <c r="D15" s="33" t="s">
        <v>103</v>
      </c>
      <c r="E15" s="5" t="s">
        <v>104</v>
      </c>
      <c r="F15" s="11" t="s">
        <v>105</v>
      </c>
      <c r="G15" s="20"/>
      <c r="H15" s="20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ht="27.75" customHeight="1">
      <c r="A16" s="85"/>
      <c r="B16" s="72" t="s">
        <v>106</v>
      </c>
      <c r="C16" s="73"/>
      <c r="D16" s="74" t="s">
        <v>107</v>
      </c>
      <c r="E16" s="75"/>
      <c r="F16" s="92"/>
      <c r="G16" s="20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ht="35.25" customHeight="1">
      <c r="A17" s="110" t="s">
        <v>119</v>
      </c>
      <c r="B17" s="70" t="s">
        <v>120</v>
      </c>
      <c r="C17" s="69"/>
      <c r="D17" s="33" t="s">
        <v>121</v>
      </c>
      <c r="E17" s="5"/>
      <c r="F17" s="11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ht="33" customHeight="1">
      <c r="A18" s="5"/>
      <c r="B18" s="70" t="s">
        <v>122</v>
      </c>
      <c r="C18" s="69"/>
      <c r="D18" s="33" t="s">
        <v>123</v>
      </c>
      <c r="E18" s="5"/>
      <c r="F18" s="11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ht="31.5" customHeight="1">
      <c r="A19" s="32"/>
      <c r="B19" s="72" t="s">
        <v>124</v>
      </c>
      <c r="C19" s="73"/>
      <c r="D19" s="27" t="s">
        <v>125</v>
      </c>
      <c r="E19" s="72"/>
      <c r="F19" s="92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ht="16.5" customHeight="1">
      <c r="A20" s="16"/>
      <c r="B20" s="16"/>
      <c r="C20" s="16"/>
      <c r="D20" s="30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ht="16.5" customHeight="1">
      <c r="A21" s="16"/>
      <c r="B21" s="16"/>
      <c r="C21" s="16"/>
      <c r="D21" s="30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ht="16.5" customHeight="1">
      <c r="A22" s="16"/>
      <c r="B22" s="16"/>
      <c r="C22" s="16"/>
      <c r="D22" s="30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ht="16.5" customHeight="1">
      <c r="A23" s="16"/>
      <c r="B23" s="16"/>
      <c r="C23" s="16"/>
      <c r="D23" s="30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ht="16.5" customHeight="1">
      <c r="A24" s="16"/>
      <c r="B24" s="16"/>
      <c r="C24" s="16"/>
      <c r="D24" s="4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ht="16.5" customHeight="1">
      <c r="A25" s="16"/>
      <c r="B25" s="16"/>
      <c r="C25" s="16"/>
      <c r="D25" s="4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ht="16.5" customHeight="1">
      <c r="A26" s="16"/>
      <c r="B26" s="16"/>
      <c r="C26" s="16"/>
      <c r="D26" s="4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ht="16.5" customHeight="1">
      <c r="A27" s="16"/>
      <c r="B27" s="16"/>
      <c r="C27" s="16"/>
      <c r="D27" s="4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ht="16.5" customHeight="1">
      <c r="A28" s="16"/>
      <c r="B28" s="16"/>
      <c r="C28" s="16"/>
      <c r="D28" s="4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ht="16.5" customHeight="1">
      <c r="A29" s="16"/>
      <c r="B29" s="16"/>
      <c r="C29" s="16"/>
      <c r="D29" s="4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ht="16.5" customHeight="1">
      <c r="A30" s="16"/>
      <c r="B30" s="16"/>
      <c r="C30" s="16"/>
      <c r="D30" s="4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ht="16.5" customHeight="1">
      <c r="A31" s="16"/>
      <c r="B31" s="16"/>
      <c r="C31" s="16"/>
      <c r="D31" s="4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ht="16.5" customHeight="1">
      <c r="A32" s="16"/>
      <c r="B32" s="16"/>
      <c r="C32" s="16"/>
      <c r="D32" s="4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ht="16.5" customHeight="1">
      <c r="A33" s="16"/>
      <c r="B33" s="16"/>
      <c r="C33" s="16"/>
      <c r="D33" s="4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ht="16.5" customHeight="1">
      <c r="A34" s="16"/>
      <c r="B34" s="16"/>
      <c r="C34" s="16"/>
      <c r="D34" s="4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ht="16.5" customHeight="1">
      <c r="A35" s="16"/>
      <c r="B35" s="16"/>
      <c r="C35" s="16"/>
      <c r="D35" s="4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ht="16.5" customHeight="1">
      <c r="A36" s="16"/>
      <c r="B36" s="16"/>
      <c r="C36" s="16"/>
      <c r="D36" s="4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ht="16.5" customHeight="1">
      <c r="A37" s="16"/>
      <c r="B37" s="16"/>
      <c r="C37" s="16"/>
      <c r="D37" s="4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ht="16.5" customHeight="1">
      <c r="A38" s="16"/>
      <c r="B38" s="16"/>
      <c r="C38" s="16"/>
      <c r="D38" s="4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ht="16.5" customHeight="1">
      <c r="A39" s="16"/>
      <c r="B39" s="16"/>
      <c r="C39" s="16"/>
      <c r="D39" s="4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ht="16.5" customHeight="1">
      <c r="A40" s="16"/>
      <c r="B40" s="16"/>
      <c r="C40" s="16"/>
      <c r="D40" s="4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ht="16.5" customHeight="1">
      <c r="A41" s="16"/>
      <c r="B41" s="16"/>
      <c r="C41" s="16"/>
      <c r="D41" s="4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ht="16.5" customHeight="1">
      <c r="A42" s="16"/>
      <c r="B42" s="16"/>
      <c r="C42" s="16"/>
      <c r="D42" s="4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ht="16.5" customHeight="1">
      <c r="A43" s="16"/>
      <c r="B43" s="16"/>
      <c r="C43" s="16"/>
      <c r="D43" s="4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ht="16.5" customHeight="1">
      <c r="A44" s="16"/>
      <c r="B44" s="16"/>
      <c r="C44" s="16"/>
      <c r="D44" s="4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ht="16.5" customHeight="1">
      <c r="A45" s="16"/>
      <c r="B45" s="16"/>
      <c r="C45" s="16"/>
      <c r="D45" s="4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ht="16.5" customHeight="1">
      <c r="A46" s="16"/>
      <c r="B46" s="16"/>
      <c r="C46" s="16"/>
      <c r="D46" s="4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ht="16.5" customHeight="1">
      <c r="A47" s="16"/>
      <c r="B47" s="16"/>
      <c r="C47" s="16"/>
      <c r="D47" s="4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ht="16.5" customHeight="1">
      <c r="A48" s="16"/>
      <c r="B48" s="16"/>
      <c r="C48" s="16"/>
      <c r="D48" s="4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ht="16.5" customHeight="1">
      <c r="A49" s="16"/>
      <c r="B49" s="16"/>
      <c r="C49" s="16"/>
      <c r="D49" s="4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ht="16.5" customHeight="1">
      <c r="A50" s="16"/>
      <c r="B50" s="16"/>
      <c r="C50" s="16"/>
      <c r="D50" s="4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ht="16.5" customHeight="1">
      <c r="A51" s="16"/>
      <c r="B51" s="16"/>
      <c r="C51" s="16"/>
      <c r="D51" s="4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ht="16.5" customHeight="1">
      <c r="A52" s="16"/>
      <c r="B52" s="16"/>
      <c r="C52" s="16"/>
      <c r="D52" s="4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ht="16.5" customHeight="1">
      <c r="A53" s="16"/>
      <c r="B53" s="16"/>
      <c r="C53" s="16"/>
      <c r="D53" s="4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ht="16.5" customHeight="1">
      <c r="A54" s="16"/>
      <c r="B54" s="16"/>
      <c r="C54" s="16"/>
      <c r="D54" s="4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ht="16.5" customHeight="1">
      <c r="A55" s="16"/>
      <c r="B55" s="16"/>
      <c r="C55" s="16"/>
      <c r="D55" s="4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ht="16.5" customHeight="1">
      <c r="A56" s="16"/>
      <c r="B56" s="16"/>
      <c r="C56" s="16"/>
      <c r="D56" s="4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ht="16.5" customHeight="1">
      <c r="A57" s="16"/>
      <c r="B57" s="16"/>
      <c r="C57" s="16"/>
      <c r="D57" s="4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ht="16.5" customHeight="1">
      <c r="A58" s="16"/>
      <c r="B58" s="16"/>
      <c r="C58" s="16"/>
      <c r="D58" s="4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ht="16.5" customHeight="1">
      <c r="A59" s="16"/>
      <c r="B59" s="16"/>
      <c r="C59" s="16"/>
      <c r="D59" s="4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ht="16.5" customHeight="1">
      <c r="A60" s="16"/>
      <c r="B60" s="16"/>
      <c r="C60" s="16"/>
      <c r="D60" s="4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ht="16.5" customHeight="1">
      <c r="A61" s="16"/>
      <c r="B61" s="16"/>
      <c r="C61" s="16"/>
      <c r="D61" s="4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ht="16.5" customHeight="1">
      <c r="A62" s="16"/>
      <c r="B62" s="16"/>
      <c r="C62" s="16"/>
      <c r="D62" s="4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ht="16.5" customHeight="1">
      <c r="A63" s="16"/>
      <c r="B63" s="16"/>
      <c r="C63" s="16"/>
      <c r="D63" s="4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ht="16.5" customHeight="1">
      <c r="A64" s="16"/>
      <c r="B64" s="16"/>
      <c r="C64" s="16"/>
      <c r="D64" s="4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ht="16.5" customHeight="1">
      <c r="A65" s="16"/>
      <c r="B65" s="16"/>
      <c r="C65" s="16"/>
      <c r="D65" s="4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ht="16.5" customHeight="1">
      <c r="A66" s="16"/>
      <c r="B66" s="16"/>
      <c r="C66" s="16"/>
      <c r="D66" s="4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ht="16.5" customHeight="1">
      <c r="A67" s="16"/>
      <c r="B67" s="16"/>
      <c r="C67" s="16"/>
      <c r="D67" s="4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ht="16.5" customHeight="1">
      <c r="A68" s="16"/>
      <c r="B68" s="16"/>
      <c r="C68" s="16"/>
      <c r="D68" s="4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ht="16.5" customHeight="1">
      <c r="A69" s="16"/>
      <c r="B69" s="16"/>
      <c r="C69" s="16"/>
      <c r="D69" s="4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ht="16.5" customHeight="1">
      <c r="A70" s="16"/>
      <c r="B70" s="16"/>
      <c r="C70" s="16"/>
      <c r="D70" s="4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ht="16.5" customHeight="1">
      <c r="A71" s="16"/>
      <c r="B71" s="16"/>
      <c r="C71" s="16"/>
      <c r="D71" s="4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ht="16.5" customHeight="1">
      <c r="A72" s="16"/>
      <c r="B72" s="16"/>
      <c r="C72" s="16"/>
      <c r="D72" s="4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ht="16.5" customHeight="1">
      <c r="A73" s="16"/>
      <c r="B73" s="16"/>
      <c r="C73" s="16"/>
      <c r="D73" s="4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ht="16.5" customHeight="1">
      <c r="A74" s="16"/>
      <c r="B74" s="16"/>
      <c r="C74" s="16"/>
      <c r="D74" s="4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ht="16.5" customHeight="1">
      <c r="A75" s="16"/>
      <c r="B75" s="16"/>
      <c r="C75" s="16"/>
      <c r="D75" s="4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ht="16.5" customHeight="1">
      <c r="A76" s="16"/>
      <c r="B76" s="16"/>
      <c r="C76" s="16"/>
      <c r="D76" s="4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ht="16.5" customHeight="1">
      <c r="A77" s="16"/>
      <c r="B77" s="16"/>
      <c r="C77" s="16"/>
      <c r="D77" s="4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ht="16.5" customHeight="1">
      <c r="A78" s="16"/>
      <c r="B78" s="16"/>
      <c r="C78" s="16"/>
      <c r="D78" s="4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ht="16.5" customHeight="1">
      <c r="A79" s="16"/>
      <c r="B79" s="16"/>
      <c r="C79" s="16"/>
      <c r="D79" s="4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ht="16.5" customHeight="1">
      <c r="A80" s="16"/>
      <c r="B80" s="16"/>
      <c r="C80" s="16"/>
      <c r="D80" s="4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ht="16.5" customHeight="1">
      <c r="A81" s="16"/>
      <c r="B81" s="16"/>
      <c r="C81" s="16"/>
      <c r="D81" s="4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ht="16.5" customHeight="1">
      <c r="A82" s="16"/>
      <c r="B82" s="16"/>
      <c r="C82" s="16"/>
      <c r="D82" s="4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ht="16.5" customHeight="1">
      <c r="A83" s="16"/>
      <c r="B83" s="16"/>
      <c r="C83" s="16"/>
      <c r="D83" s="4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ht="16.5" customHeight="1">
      <c r="A84" s="16"/>
      <c r="B84" s="16"/>
      <c r="C84" s="16"/>
      <c r="D84" s="4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ht="16.5" customHeight="1">
      <c r="A85" s="16"/>
      <c r="B85" s="16"/>
      <c r="C85" s="16"/>
      <c r="D85" s="4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ht="16.5" customHeight="1">
      <c r="A86" s="16"/>
      <c r="B86" s="16"/>
      <c r="C86" s="16"/>
      <c r="D86" s="4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ht="16.5" customHeight="1">
      <c r="A87" s="16"/>
      <c r="B87" s="16"/>
      <c r="C87" s="16"/>
      <c r="D87" s="4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ht="16.5" customHeight="1">
      <c r="A88" s="16"/>
      <c r="B88" s="16"/>
      <c r="C88" s="16"/>
      <c r="D88" s="4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ht="16.5" customHeight="1">
      <c r="A89" s="16"/>
      <c r="B89" s="16"/>
      <c r="C89" s="16"/>
      <c r="D89" s="4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ht="16.5" customHeight="1">
      <c r="A90" s="16"/>
      <c r="B90" s="16"/>
      <c r="C90" s="16"/>
      <c r="D90" s="4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ht="16.5" customHeight="1">
      <c r="A91" s="16"/>
      <c r="B91" s="16"/>
      <c r="C91" s="16"/>
      <c r="D91" s="4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ht="16.5" customHeight="1">
      <c r="A92" s="16"/>
      <c r="B92" s="16"/>
      <c r="C92" s="16"/>
      <c r="D92" s="4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ht="16.5" customHeight="1">
      <c r="A93" s="16"/>
      <c r="B93" s="16"/>
      <c r="C93" s="16"/>
      <c r="D93" s="4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ht="16.5" customHeight="1">
      <c r="A94" s="16"/>
      <c r="B94" s="16"/>
      <c r="C94" s="16"/>
      <c r="D94" s="4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ht="16.5" customHeight="1">
      <c r="A95" s="16"/>
      <c r="B95" s="16"/>
      <c r="C95" s="16"/>
      <c r="D95" s="4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ht="16.5" customHeight="1">
      <c r="A96" s="16"/>
      <c r="B96" s="16"/>
      <c r="C96" s="16"/>
      <c r="D96" s="4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ht="16.5" customHeight="1">
      <c r="A97" s="16"/>
      <c r="B97" s="16"/>
      <c r="C97" s="16"/>
      <c r="D97" s="4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ht="16.5" customHeight="1">
      <c r="A98" s="16"/>
      <c r="B98" s="16"/>
      <c r="C98" s="16"/>
      <c r="D98" s="4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ht="16.5" customHeight="1">
      <c r="A99" s="16"/>
      <c r="B99" s="16"/>
      <c r="C99" s="16"/>
      <c r="D99" s="4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ht="16.5" customHeight="1">
      <c r="A100" s="16"/>
      <c r="B100" s="16"/>
      <c r="C100" s="16"/>
      <c r="D100" s="4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ht="16.5" customHeight="1">
      <c r="A101" s="16"/>
      <c r="B101" s="16"/>
      <c r="C101" s="16"/>
      <c r="D101" s="4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ht="16.5" customHeight="1">
      <c r="A102" s="16"/>
      <c r="B102" s="16"/>
      <c r="C102" s="16"/>
      <c r="D102" s="4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ht="16.5" customHeight="1">
      <c r="A103" s="16"/>
      <c r="B103" s="16"/>
      <c r="C103" s="16"/>
      <c r="D103" s="4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ht="16.5" customHeight="1">
      <c r="A104" s="16"/>
      <c r="B104" s="16"/>
      <c r="C104" s="16"/>
      <c r="D104" s="4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ht="16.5" customHeight="1">
      <c r="A105" s="16"/>
      <c r="B105" s="16"/>
      <c r="C105" s="16"/>
      <c r="D105" s="4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ht="16.5" customHeight="1">
      <c r="A106" s="16"/>
      <c r="B106" s="16"/>
      <c r="C106" s="16"/>
      <c r="D106" s="4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ht="16.5" customHeight="1">
      <c r="A107" s="16"/>
      <c r="B107" s="16"/>
      <c r="C107" s="16"/>
      <c r="D107" s="4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ht="16.5" customHeight="1">
      <c r="A108" s="16"/>
      <c r="B108" s="16"/>
      <c r="C108" s="16"/>
      <c r="D108" s="4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ht="16.5" customHeight="1">
      <c r="A109" s="16"/>
      <c r="B109" s="16"/>
      <c r="C109" s="16"/>
      <c r="D109" s="4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ht="16.5" customHeight="1">
      <c r="A110" s="16"/>
      <c r="B110" s="16"/>
      <c r="C110" s="16"/>
      <c r="D110" s="4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ht="16.5" customHeight="1">
      <c r="A111" s="16"/>
      <c r="B111" s="16"/>
      <c r="C111" s="16"/>
      <c r="D111" s="4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ht="16.5" customHeight="1">
      <c r="A112" s="16"/>
      <c r="B112" s="16"/>
      <c r="C112" s="16"/>
      <c r="D112" s="4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ht="16.5" customHeight="1">
      <c r="A113" s="16"/>
      <c r="B113" s="16"/>
      <c r="C113" s="16"/>
      <c r="D113" s="4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ht="16.5" customHeight="1">
      <c r="A114" s="16"/>
      <c r="B114" s="16"/>
      <c r="C114" s="16"/>
      <c r="D114" s="4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ht="16.5" customHeight="1">
      <c r="A115" s="16"/>
      <c r="B115" s="16"/>
      <c r="C115" s="16"/>
      <c r="D115" s="4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ht="16.5" customHeight="1">
      <c r="A116" s="16"/>
      <c r="B116" s="16"/>
      <c r="C116" s="16"/>
      <c r="D116" s="4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ht="16.5" customHeight="1">
      <c r="A117" s="16"/>
      <c r="B117" s="16"/>
      <c r="C117" s="16"/>
      <c r="D117" s="4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ht="16.5" customHeight="1">
      <c r="A118" s="16"/>
      <c r="B118" s="16"/>
      <c r="C118" s="16"/>
      <c r="D118" s="4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ht="16.5" customHeight="1">
      <c r="A119" s="16"/>
      <c r="B119" s="16"/>
      <c r="C119" s="16"/>
      <c r="D119" s="4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ht="16.5" customHeight="1">
      <c r="A120" s="16"/>
      <c r="B120" s="16"/>
      <c r="C120" s="16"/>
      <c r="D120" s="4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ht="16.5" customHeight="1">
      <c r="A121" s="16"/>
      <c r="B121" s="16"/>
      <c r="C121" s="16"/>
      <c r="D121" s="4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ht="16.5" customHeight="1">
      <c r="A122" s="16"/>
      <c r="B122" s="16"/>
      <c r="C122" s="16"/>
      <c r="D122" s="4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ht="16.5" customHeight="1">
      <c r="A123" s="16"/>
      <c r="B123" s="16"/>
      <c r="C123" s="16"/>
      <c r="D123" s="4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ht="16.5" customHeight="1">
      <c r="A124" s="16"/>
      <c r="B124" s="16"/>
      <c r="C124" s="16"/>
      <c r="D124" s="4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ht="16.5" customHeight="1">
      <c r="A125" s="16"/>
      <c r="B125" s="16"/>
      <c r="C125" s="16"/>
      <c r="D125" s="4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ht="16.5" customHeight="1">
      <c r="A126" s="16"/>
      <c r="B126" s="16"/>
      <c r="C126" s="16"/>
      <c r="D126" s="4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ht="16.5" customHeight="1">
      <c r="A127" s="16"/>
      <c r="B127" s="16"/>
      <c r="C127" s="16"/>
      <c r="D127" s="4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ht="16.5" customHeight="1">
      <c r="A128" s="16"/>
      <c r="B128" s="16"/>
      <c r="C128" s="16"/>
      <c r="D128" s="4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ht="16.5" customHeight="1">
      <c r="A129" s="16"/>
      <c r="B129" s="16"/>
      <c r="C129" s="16"/>
      <c r="D129" s="4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ht="16.5" customHeight="1">
      <c r="A130" s="16"/>
      <c r="B130" s="16"/>
      <c r="C130" s="16"/>
      <c r="D130" s="4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ht="16.5" customHeight="1">
      <c r="A131" s="16"/>
      <c r="B131" s="16"/>
      <c r="C131" s="16"/>
      <c r="D131" s="4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ht="16.5" customHeight="1">
      <c r="A132" s="16"/>
      <c r="B132" s="16"/>
      <c r="C132" s="16"/>
      <c r="D132" s="4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ht="16.5" customHeight="1">
      <c r="A133" s="16"/>
      <c r="B133" s="16"/>
      <c r="C133" s="16"/>
      <c r="D133" s="4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ht="16.5" customHeight="1">
      <c r="A134" s="16"/>
      <c r="B134" s="16"/>
      <c r="C134" s="16"/>
      <c r="D134" s="4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ht="16.5" customHeight="1">
      <c r="A135" s="16"/>
      <c r="B135" s="16"/>
      <c r="C135" s="16"/>
      <c r="D135" s="4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ht="16.5" customHeight="1">
      <c r="A136" s="16"/>
      <c r="B136" s="16"/>
      <c r="C136" s="16"/>
      <c r="D136" s="4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ht="16.5" customHeight="1">
      <c r="A137" s="16"/>
      <c r="B137" s="16"/>
      <c r="C137" s="16"/>
      <c r="D137" s="4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ht="16.5" customHeight="1">
      <c r="A138" s="16"/>
      <c r="B138" s="16"/>
      <c r="C138" s="16"/>
      <c r="D138" s="4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ht="16.5" customHeight="1">
      <c r="A139" s="16"/>
      <c r="B139" s="16"/>
      <c r="C139" s="16"/>
      <c r="D139" s="4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ht="16.5" customHeight="1">
      <c r="A140" s="16"/>
      <c r="B140" s="16"/>
      <c r="C140" s="16"/>
      <c r="D140" s="4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ht="16.5" customHeight="1">
      <c r="A141" s="16"/>
      <c r="B141" s="16"/>
      <c r="C141" s="16"/>
      <c r="D141" s="4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ht="16.5" customHeight="1">
      <c r="A142" s="16"/>
      <c r="B142" s="16"/>
      <c r="C142" s="16"/>
      <c r="D142" s="4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ht="16.5" customHeight="1">
      <c r="A143" s="16"/>
      <c r="B143" s="16"/>
      <c r="C143" s="16"/>
      <c r="D143" s="4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ht="16.5" customHeight="1">
      <c r="A144" s="16"/>
      <c r="B144" s="16"/>
      <c r="C144" s="16"/>
      <c r="D144" s="4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ht="16.5" customHeight="1">
      <c r="A145" s="16"/>
      <c r="B145" s="16"/>
      <c r="C145" s="16"/>
      <c r="D145" s="4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ht="16.5" customHeight="1">
      <c r="A146" s="16"/>
      <c r="B146" s="16"/>
      <c r="C146" s="16"/>
      <c r="D146" s="4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ht="16.5" customHeight="1">
      <c r="A147" s="16"/>
      <c r="B147" s="16"/>
      <c r="C147" s="16"/>
      <c r="D147" s="4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ht="16.5" customHeight="1">
      <c r="A148" s="16"/>
      <c r="B148" s="16"/>
      <c r="C148" s="16"/>
      <c r="D148" s="4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ht="16.5" customHeight="1">
      <c r="A149" s="16"/>
      <c r="B149" s="16"/>
      <c r="C149" s="16"/>
      <c r="D149" s="4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ht="16.5" customHeight="1">
      <c r="A150" s="16"/>
      <c r="B150" s="16"/>
      <c r="C150" s="16"/>
      <c r="D150" s="4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ht="16.5" customHeight="1">
      <c r="A151" s="16"/>
      <c r="B151" s="16"/>
      <c r="C151" s="16"/>
      <c r="D151" s="4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ht="16.5" customHeight="1">
      <c r="A152" s="16"/>
      <c r="B152" s="16"/>
      <c r="C152" s="16"/>
      <c r="D152" s="4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ht="16.5" customHeight="1">
      <c r="A153" s="16"/>
      <c r="B153" s="16"/>
      <c r="C153" s="16"/>
      <c r="D153" s="4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ht="16.5" customHeight="1">
      <c r="A154" s="16"/>
      <c r="B154" s="16"/>
      <c r="C154" s="16"/>
      <c r="D154" s="4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ht="16.5" customHeight="1">
      <c r="A155" s="16"/>
      <c r="B155" s="16"/>
      <c r="C155" s="16"/>
      <c r="D155" s="4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ht="16.5" customHeight="1">
      <c r="A156" s="16"/>
      <c r="B156" s="16"/>
      <c r="C156" s="16"/>
      <c r="D156" s="4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ht="16.5" customHeight="1">
      <c r="A157" s="16"/>
      <c r="B157" s="16"/>
      <c r="C157" s="16"/>
      <c r="D157" s="4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ht="16.5" customHeight="1">
      <c r="A158" s="16"/>
      <c r="B158" s="16"/>
      <c r="C158" s="16"/>
      <c r="D158" s="4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ht="16.5" customHeight="1">
      <c r="A159" s="16"/>
      <c r="B159" s="16"/>
      <c r="C159" s="16"/>
      <c r="D159" s="4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ht="16.5" customHeight="1">
      <c r="A160" s="16"/>
      <c r="B160" s="16"/>
      <c r="C160" s="16"/>
      <c r="D160" s="4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ht="16.5" customHeight="1">
      <c r="A161" s="16"/>
      <c r="B161" s="16"/>
      <c r="C161" s="16"/>
      <c r="D161" s="4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ht="16.5" customHeight="1">
      <c r="A162" s="16"/>
      <c r="B162" s="16"/>
      <c r="C162" s="16"/>
      <c r="D162" s="4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ht="16.5" customHeight="1">
      <c r="A163" s="16"/>
      <c r="B163" s="16"/>
      <c r="C163" s="16"/>
      <c r="D163" s="4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ht="16.5" customHeight="1">
      <c r="A164" s="16"/>
      <c r="B164" s="16"/>
      <c r="C164" s="16"/>
      <c r="D164" s="4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ht="16.5" customHeight="1">
      <c r="A165" s="16"/>
      <c r="B165" s="16"/>
      <c r="C165" s="16"/>
      <c r="D165" s="4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ht="16.5" customHeight="1">
      <c r="A166" s="16"/>
      <c r="B166" s="16"/>
      <c r="C166" s="16"/>
      <c r="D166" s="4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ht="16.5" customHeight="1">
      <c r="A167" s="16"/>
      <c r="B167" s="16"/>
      <c r="C167" s="16"/>
      <c r="D167" s="4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ht="16.5" customHeight="1">
      <c r="A168" s="16"/>
      <c r="B168" s="16"/>
      <c r="C168" s="16"/>
      <c r="D168" s="4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ht="16.5" customHeight="1">
      <c r="A169" s="16"/>
      <c r="B169" s="16"/>
      <c r="C169" s="16"/>
      <c r="D169" s="4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ht="16.5" customHeight="1">
      <c r="A170" s="16"/>
      <c r="B170" s="16"/>
      <c r="C170" s="16"/>
      <c r="D170" s="4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ht="16.5" customHeight="1">
      <c r="A171" s="16"/>
      <c r="B171" s="16"/>
      <c r="C171" s="16"/>
      <c r="D171" s="4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ht="16.5" customHeight="1">
      <c r="A172" s="16"/>
      <c r="B172" s="16"/>
      <c r="C172" s="16"/>
      <c r="D172" s="4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ht="16.5" customHeight="1">
      <c r="A173" s="16"/>
      <c r="B173" s="16"/>
      <c r="C173" s="16"/>
      <c r="D173" s="4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ht="16.5" customHeight="1">
      <c r="A174" s="16"/>
      <c r="B174" s="16"/>
      <c r="C174" s="16"/>
      <c r="D174" s="4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ht="16.5" customHeight="1">
      <c r="A175" s="16"/>
      <c r="B175" s="16"/>
      <c r="C175" s="16"/>
      <c r="D175" s="4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ht="16.5" customHeight="1">
      <c r="A176" s="16"/>
      <c r="B176" s="16"/>
      <c r="C176" s="16"/>
      <c r="D176" s="4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ht="16.5" customHeight="1">
      <c r="A177" s="16"/>
      <c r="B177" s="16"/>
      <c r="C177" s="16"/>
      <c r="D177" s="4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ht="16.5" customHeight="1">
      <c r="A178" s="16"/>
      <c r="B178" s="16"/>
      <c r="C178" s="16"/>
      <c r="D178" s="4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ht="16.5" customHeight="1">
      <c r="A179" s="16"/>
      <c r="B179" s="16"/>
      <c r="C179" s="16"/>
      <c r="D179" s="4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ht="16.5" customHeight="1">
      <c r="A180" s="16"/>
      <c r="B180" s="16"/>
      <c r="C180" s="16"/>
      <c r="D180" s="4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ht="16.5" customHeight="1">
      <c r="A181" s="16"/>
      <c r="B181" s="16"/>
      <c r="C181" s="16"/>
      <c r="D181" s="4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ht="16.5" customHeight="1">
      <c r="A182" s="16"/>
      <c r="B182" s="16"/>
      <c r="C182" s="16"/>
      <c r="D182" s="4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ht="16.5" customHeight="1">
      <c r="A183" s="16"/>
      <c r="B183" s="16"/>
      <c r="C183" s="16"/>
      <c r="D183" s="4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ht="16.5" customHeight="1">
      <c r="A184" s="16"/>
      <c r="B184" s="16"/>
      <c r="C184" s="16"/>
      <c r="D184" s="4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ht="16.5" customHeight="1">
      <c r="A185" s="16"/>
      <c r="B185" s="16"/>
      <c r="C185" s="16"/>
      <c r="D185" s="4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ht="16.5" customHeight="1">
      <c r="A186" s="16"/>
      <c r="B186" s="16"/>
      <c r="C186" s="16"/>
      <c r="D186" s="4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ht="16.5" customHeight="1">
      <c r="A187" s="16"/>
      <c r="B187" s="16"/>
      <c r="C187" s="16"/>
      <c r="D187" s="4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ht="16.5" customHeight="1">
      <c r="A188" s="16"/>
      <c r="B188" s="16"/>
      <c r="C188" s="16"/>
      <c r="D188" s="4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ht="16.5" customHeight="1">
      <c r="A189" s="16"/>
      <c r="B189" s="16"/>
      <c r="C189" s="16"/>
      <c r="D189" s="4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ht="16.5" customHeight="1">
      <c r="A190" s="16"/>
      <c r="B190" s="16"/>
      <c r="C190" s="16"/>
      <c r="D190" s="4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ht="16.5" customHeight="1">
      <c r="A191" s="16"/>
      <c r="B191" s="16"/>
      <c r="C191" s="16"/>
      <c r="D191" s="4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ht="16.5" customHeight="1">
      <c r="A192" s="16"/>
      <c r="B192" s="16"/>
      <c r="C192" s="16"/>
      <c r="D192" s="4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ht="16.5" customHeight="1">
      <c r="A193" s="16"/>
      <c r="B193" s="16"/>
      <c r="C193" s="16"/>
      <c r="D193" s="4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  <row r="194" ht="16.5" customHeight="1">
      <c r="A194" s="16"/>
      <c r="B194" s="16"/>
      <c r="C194" s="16"/>
      <c r="D194" s="4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</row>
    <row r="195" ht="16.5" customHeight="1">
      <c r="A195" s="16"/>
      <c r="B195" s="16"/>
      <c r="C195" s="16"/>
      <c r="D195" s="49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</row>
    <row r="196" ht="16.5" customHeight="1">
      <c r="A196" s="16"/>
      <c r="B196" s="16"/>
      <c r="C196" s="16"/>
      <c r="D196" s="49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</row>
    <row r="197" ht="16.5" customHeight="1">
      <c r="A197" s="16"/>
      <c r="B197" s="16"/>
      <c r="C197" s="16"/>
      <c r="D197" s="49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</row>
    <row r="198" ht="16.5" customHeight="1">
      <c r="A198" s="16"/>
      <c r="B198" s="16"/>
      <c r="C198" s="16"/>
      <c r="D198" s="49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</row>
  </sheetData>
  <mergeCells count="16">
    <mergeCell ref="A1:F1"/>
    <mergeCell ref="A11:F11"/>
    <mergeCell ref="B15:C15"/>
    <mergeCell ref="B16:C16"/>
    <mergeCell ref="A13:A16"/>
    <mergeCell ref="B12:C12"/>
    <mergeCell ref="B13:C13"/>
    <mergeCell ref="A3:F3"/>
    <mergeCell ref="B5:D5"/>
    <mergeCell ref="B2:C2"/>
    <mergeCell ref="D2:E2"/>
    <mergeCell ref="B14:C14"/>
    <mergeCell ref="B19:C19"/>
    <mergeCell ref="B17:C17"/>
    <mergeCell ref="B18:C18"/>
    <mergeCell ref="A17:A19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7.02734375" customWidth="1"/>
    <col min="2" max="2" width="22.3740234375" customWidth="1"/>
    <col min="3" max="3" width="24.6796875" customWidth="1"/>
    <col min="4" max="4" width="32.736328125" customWidth="1" style="14"/>
    <col min="5" max="5" width="30.3603515625"/>
    <col min="6" max="6" width="34.388671875" customWidth="1"/>
  </cols>
  <sheetData>
    <row r="1" ht="26.25" customHeight="1">
      <c r="A1" s="76" t="s">
        <v>0</v>
      </c>
      <c r="B1" s="71"/>
      <c r="C1" s="71"/>
      <c r="D1" s="71"/>
      <c r="E1" s="71"/>
      <c r="F1" s="86"/>
      <c r="G1" s="2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ht="17.25" customHeight="1">
      <c r="A2" s="93"/>
      <c r="B2" s="94" t="s">
        <v>126</v>
      </c>
      <c r="C2" s="95"/>
      <c r="D2" s="94" t="s">
        <v>82</v>
      </c>
      <c r="E2" s="95"/>
      <c r="F2" s="96"/>
      <c r="G2" s="2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ht="27.75" customHeight="1">
      <c r="A3" s="97" t="s">
        <v>3</v>
      </c>
      <c r="B3" s="98"/>
      <c r="C3" s="98"/>
      <c r="D3" s="98"/>
      <c r="E3" s="98"/>
      <c r="F3" s="99"/>
      <c r="G3" s="20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ht="27.75" customHeight="1">
      <c r="A4" s="77" t="s">
        <v>5</v>
      </c>
      <c r="B4" s="39" t="s">
        <v>6</v>
      </c>
      <c r="C4" s="39" t="s">
        <v>7</v>
      </c>
      <c r="D4" s="39" t="s">
        <v>8</v>
      </c>
      <c r="E4" s="39" t="s">
        <v>9</v>
      </c>
      <c r="F4" s="87" t="s">
        <v>10</v>
      </c>
      <c r="G4" s="20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ht="27.75" customHeight="1">
      <c r="A5" s="78" t="s">
        <v>11</v>
      </c>
      <c r="B5" s="7" t="n">
        <v>40020</v>
      </c>
      <c r="C5" s="6"/>
      <c r="D5" s="6"/>
      <c r="E5" s="10" t="s">
        <v>127</v>
      </c>
      <c r="F5" s="28" t="s">
        <v>128</v>
      </c>
      <c r="G5" s="20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27.75" customHeight="1">
      <c r="A6" s="79" t="s">
        <v>12</v>
      </c>
      <c r="B6" s="31" t="n">
        <v>4875</v>
      </c>
      <c r="C6" s="31" t="n">
        <v>3717</v>
      </c>
      <c r="D6" s="31" t="n">
        <f>SUM(B6,C6)</f>
        <v>8592</v>
      </c>
      <c r="E6" s="24" t="s">
        <v>129</v>
      </c>
      <c r="F6" s="89"/>
      <c r="G6" s="20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ht="27.75" customHeight="1">
      <c r="A7" s="80" t="s">
        <v>13</v>
      </c>
      <c r="B7" s="9" t="n">
        <v>0.1086</v>
      </c>
      <c r="C7" s="9" t="n">
        <f>C6/B5*100%</f>
        <v>0.0928785607196402</v>
      </c>
      <c r="D7" s="17" t="n">
        <f>D6/B5*100%</f>
        <v>0.214692653673163</v>
      </c>
      <c r="E7" s="24" t="s">
        <v>130</v>
      </c>
      <c r="F7" s="90" t="s">
        <v>131</v>
      </c>
      <c r="G7" s="2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ht="27.75" customHeight="1">
      <c r="A8" s="81" t="s">
        <v>15</v>
      </c>
      <c r="B8" s="15" t="n">
        <f>B9/B6</f>
        <v>13.1652635897436</v>
      </c>
      <c r="C8" s="15" t="n">
        <f>C9/C6</f>
        <v>16.6559860102233</v>
      </c>
      <c r="D8" s="15" t="n">
        <f>D9/D6</f>
        <v>14.6753910614525</v>
      </c>
      <c r="E8" s="10" t="s">
        <v>132</v>
      </c>
      <c r="F8" s="22"/>
      <c r="G8" s="2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ht="27.75" customHeight="1">
      <c r="A9" s="100" t="s">
        <v>16</v>
      </c>
      <c r="B9" s="74" t="n">
        <v>64180.66</v>
      </c>
      <c r="C9" s="74" t="n">
        <v>61910.3</v>
      </c>
      <c r="D9" s="74" t="n">
        <f>SUM(B9,C9)</f>
        <v>126090.96</v>
      </c>
      <c r="E9" s="25" t="s">
        <v>133</v>
      </c>
      <c r="F9" s="21"/>
      <c r="G9" s="2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ht="27.75" customHeight="1">
      <c r="A10" s="101"/>
      <c r="B10" s="102"/>
      <c r="C10" s="102"/>
      <c r="D10" s="102"/>
      <c r="E10" s="102"/>
      <c r="F10" s="103"/>
      <c r="G10" s="2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27.75" customHeight="1">
      <c r="A11" s="97" t="s">
        <v>18</v>
      </c>
      <c r="B11" s="104"/>
      <c r="C11" s="104"/>
      <c r="D11" s="104"/>
      <c r="E11" s="104"/>
      <c r="F11" s="105"/>
      <c r="G11" s="2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ht="27.75" customHeight="1">
      <c r="A12" s="82" t="s">
        <v>19</v>
      </c>
      <c r="B12" s="37" t="s">
        <v>88</v>
      </c>
      <c r="C12" s="38"/>
      <c r="D12" s="39" t="s">
        <v>21</v>
      </c>
      <c r="E12" s="39" t="s">
        <v>22</v>
      </c>
      <c r="F12" s="87" t="s">
        <v>10</v>
      </c>
      <c r="G12" s="20"/>
      <c r="H12" s="20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ht="61.916666666666664" customHeight="1">
      <c r="A13" s="83" t="s">
        <v>89</v>
      </c>
      <c r="B13" s="111" t="s">
        <v>90</v>
      </c>
      <c r="C13" s="69"/>
      <c r="D13" s="29" t="s">
        <v>118</v>
      </c>
      <c r="E13" s="44"/>
      <c r="F13" s="18"/>
      <c r="G13" s="20"/>
      <c r="H13" s="20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30.75" customHeight="1">
      <c r="A14" s="84"/>
      <c r="B14" s="70" t="s">
        <v>99</v>
      </c>
      <c r="C14" s="69"/>
      <c r="D14" s="33" t="s">
        <v>100</v>
      </c>
      <c r="E14" s="29" t="s">
        <v>101</v>
      </c>
      <c r="F14" s="11"/>
      <c r="G14" s="20"/>
      <c r="H14" s="20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ht="16.5" customHeight="1">
      <c r="A15" s="84"/>
      <c r="B15" s="70" t="s">
        <v>102</v>
      </c>
      <c r="C15" s="69"/>
      <c r="D15" s="33" t="s">
        <v>103</v>
      </c>
      <c r="E15" s="5" t="s">
        <v>104</v>
      </c>
      <c r="F15" s="11" t="s">
        <v>134</v>
      </c>
      <c r="G15" s="20"/>
      <c r="H15" s="20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ht="27.75" customHeight="1">
      <c r="A16" s="85"/>
      <c r="B16" s="72" t="s">
        <v>106</v>
      </c>
      <c r="C16" s="73"/>
      <c r="D16" s="74" t="s">
        <v>107</v>
      </c>
      <c r="E16" s="75"/>
      <c r="F16" s="92"/>
      <c r="G16" s="20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ht="16.5" customHeight="1">
      <c r="A17" s="34"/>
      <c r="B17" s="34"/>
      <c r="C17" s="34"/>
      <c r="D17" s="34"/>
      <c r="E17" s="34"/>
      <c r="F17" s="3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ht="63.99999999999998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ht="16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ht="16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ht="16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ht="16.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ht="16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ht="16.5" customHeight="1">
      <c r="A24" s="16"/>
      <c r="B24" s="16"/>
      <c r="C24" s="16"/>
      <c r="D24" s="4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ht="16.5" customHeight="1">
      <c r="A25" s="16"/>
      <c r="B25" s="16"/>
      <c r="C25" s="16"/>
      <c r="D25" s="4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ht="16.5" customHeight="1">
      <c r="A26" s="16"/>
      <c r="B26" s="16"/>
      <c r="C26" s="16"/>
      <c r="D26" s="4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ht="16.5" customHeight="1">
      <c r="A27" s="16"/>
      <c r="B27" s="16"/>
      <c r="C27" s="16"/>
      <c r="D27" s="4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ht="16.5" customHeight="1">
      <c r="A28" s="16"/>
      <c r="B28" s="16"/>
      <c r="C28" s="16"/>
      <c r="D28" s="4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ht="16.5" customHeight="1">
      <c r="A29" s="16"/>
      <c r="B29" s="16"/>
      <c r="C29" s="16"/>
      <c r="D29" s="4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ht="16.5" customHeight="1">
      <c r="A30" s="16"/>
      <c r="B30" s="16"/>
      <c r="C30" s="16"/>
      <c r="D30" s="4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ht="16.5" customHeight="1">
      <c r="A31" s="16"/>
      <c r="B31" s="16"/>
      <c r="C31" s="16"/>
      <c r="D31" s="4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ht="16.5" customHeight="1">
      <c r="A32" s="16"/>
      <c r="B32" s="16"/>
      <c r="C32" s="16"/>
      <c r="D32" s="4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ht="16.5" customHeight="1">
      <c r="A33" s="16"/>
      <c r="B33" s="16"/>
      <c r="C33" s="16"/>
      <c r="D33" s="4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ht="16.5" customHeight="1">
      <c r="A34" s="16"/>
      <c r="B34" s="16"/>
      <c r="C34" s="16"/>
      <c r="D34" s="4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ht="16.5" customHeight="1">
      <c r="A35" s="16"/>
      <c r="B35" s="16"/>
      <c r="C35" s="16"/>
      <c r="D35" s="4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ht="16.5" customHeight="1">
      <c r="A36" s="16"/>
      <c r="B36" s="16"/>
      <c r="C36" s="16"/>
      <c r="D36" s="4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ht="16.5" customHeight="1">
      <c r="A37" s="16"/>
      <c r="B37" s="16"/>
      <c r="C37" s="16"/>
      <c r="D37" s="4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ht="16.5" customHeight="1">
      <c r="A38" s="16"/>
      <c r="B38" s="16"/>
      <c r="C38" s="16"/>
      <c r="D38" s="4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ht="16.5" customHeight="1">
      <c r="A39" s="16"/>
      <c r="B39" s="16"/>
      <c r="C39" s="16"/>
      <c r="D39" s="4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ht="16.5" customHeight="1">
      <c r="A40" s="16"/>
      <c r="B40" s="16"/>
      <c r="C40" s="16"/>
      <c r="D40" s="4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ht="16.5" customHeight="1">
      <c r="A41" s="16"/>
      <c r="B41" s="16"/>
      <c r="C41" s="16"/>
      <c r="D41" s="4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ht="16.5" customHeight="1">
      <c r="A42" s="16"/>
      <c r="B42" s="16"/>
      <c r="C42" s="16"/>
      <c r="D42" s="4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ht="16.5" customHeight="1">
      <c r="A43" s="16"/>
      <c r="B43" s="16"/>
      <c r="C43" s="16"/>
      <c r="D43" s="4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ht="16.5" customHeight="1">
      <c r="A44" s="16"/>
      <c r="B44" s="16"/>
      <c r="C44" s="16"/>
      <c r="D44" s="4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ht="16.5" customHeight="1">
      <c r="A45" s="16"/>
      <c r="B45" s="16"/>
      <c r="C45" s="16"/>
      <c r="D45" s="4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ht="16.5" customHeight="1">
      <c r="A46" s="16"/>
      <c r="B46" s="16"/>
      <c r="C46" s="16"/>
      <c r="D46" s="4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ht="16.5" customHeight="1">
      <c r="A47" s="16"/>
      <c r="B47" s="16"/>
      <c r="C47" s="16"/>
      <c r="D47" s="4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ht="16.5" customHeight="1">
      <c r="A48" s="16"/>
      <c r="B48" s="16"/>
      <c r="C48" s="16"/>
      <c r="D48" s="4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ht="16.5" customHeight="1">
      <c r="A49" s="16"/>
      <c r="B49" s="16"/>
      <c r="C49" s="16"/>
      <c r="D49" s="4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ht="16.5" customHeight="1">
      <c r="A50" s="16"/>
      <c r="B50" s="16"/>
      <c r="C50" s="16"/>
      <c r="D50" s="4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ht="16.5" customHeight="1">
      <c r="A51" s="16"/>
      <c r="B51" s="16"/>
      <c r="C51" s="16"/>
      <c r="D51" s="4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ht="16.5" customHeight="1">
      <c r="A52" s="16"/>
      <c r="B52" s="16"/>
      <c r="C52" s="16"/>
      <c r="D52" s="4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ht="16.5" customHeight="1">
      <c r="A53" s="16"/>
      <c r="B53" s="16"/>
      <c r="C53" s="16"/>
      <c r="D53" s="4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ht="16.5" customHeight="1">
      <c r="A54" s="16"/>
      <c r="B54" s="16"/>
      <c r="C54" s="16"/>
      <c r="D54" s="4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ht="16.5" customHeight="1">
      <c r="A55" s="16"/>
      <c r="B55" s="16"/>
      <c r="C55" s="16"/>
      <c r="D55" s="4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ht="16.5" customHeight="1">
      <c r="A56" s="16"/>
      <c r="B56" s="16"/>
      <c r="C56" s="16"/>
      <c r="D56" s="4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ht="16.5" customHeight="1">
      <c r="A57" s="16"/>
      <c r="B57" s="16"/>
      <c r="C57" s="16"/>
      <c r="D57" s="4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ht="16.5" customHeight="1">
      <c r="A58" s="16"/>
      <c r="B58" s="16"/>
      <c r="C58" s="16"/>
      <c r="D58" s="4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ht="16.5" customHeight="1">
      <c r="A59" s="16"/>
      <c r="B59" s="16"/>
      <c r="C59" s="16"/>
      <c r="D59" s="4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ht="16.5" customHeight="1">
      <c r="A60" s="16"/>
      <c r="B60" s="16"/>
      <c r="C60" s="16"/>
      <c r="D60" s="4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ht="16.5" customHeight="1">
      <c r="A61" s="16"/>
      <c r="B61" s="16"/>
      <c r="C61" s="16"/>
      <c r="D61" s="4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ht="16.5" customHeight="1">
      <c r="A62" s="16"/>
      <c r="B62" s="16"/>
      <c r="C62" s="16"/>
      <c r="D62" s="4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ht="16.5" customHeight="1">
      <c r="A63" s="16"/>
      <c r="B63" s="16"/>
      <c r="C63" s="16"/>
      <c r="D63" s="4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ht="16.5" customHeight="1">
      <c r="A64" s="16"/>
      <c r="B64" s="16"/>
      <c r="C64" s="16"/>
      <c r="D64" s="4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ht="16.5" customHeight="1">
      <c r="A65" s="16"/>
      <c r="B65" s="16"/>
      <c r="C65" s="16"/>
      <c r="D65" s="4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ht="16.5" customHeight="1">
      <c r="A66" s="16"/>
      <c r="B66" s="16"/>
      <c r="C66" s="16"/>
      <c r="D66" s="4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ht="16.5" customHeight="1">
      <c r="A67" s="16"/>
      <c r="B67" s="16"/>
      <c r="C67" s="16"/>
      <c r="D67" s="4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ht="16.5" customHeight="1">
      <c r="A68" s="16"/>
      <c r="B68" s="16"/>
      <c r="C68" s="16"/>
      <c r="D68" s="4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ht="16.5" customHeight="1">
      <c r="A69" s="16"/>
      <c r="B69" s="16"/>
      <c r="C69" s="16"/>
      <c r="D69" s="4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ht="16.5" customHeight="1">
      <c r="A70" s="16"/>
      <c r="B70" s="16"/>
      <c r="C70" s="16"/>
      <c r="D70" s="4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ht="16.5" customHeight="1">
      <c r="A71" s="16"/>
      <c r="B71" s="16"/>
      <c r="C71" s="16"/>
      <c r="D71" s="4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ht="16.5" customHeight="1">
      <c r="A72" s="16"/>
      <c r="B72" s="16"/>
      <c r="C72" s="16"/>
      <c r="D72" s="4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ht="16.5" customHeight="1">
      <c r="A73" s="16"/>
      <c r="B73" s="16"/>
      <c r="C73" s="16"/>
      <c r="D73" s="4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ht="16.5" customHeight="1">
      <c r="A74" s="16"/>
      <c r="B74" s="16"/>
      <c r="C74" s="16"/>
      <c r="D74" s="4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ht="16.5" customHeight="1">
      <c r="A75" s="16"/>
      <c r="B75" s="16"/>
      <c r="C75" s="16"/>
      <c r="D75" s="4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ht="16.5" customHeight="1">
      <c r="A76" s="16"/>
      <c r="B76" s="16"/>
      <c r="C76" s="16"/>
      <c r="D76" s="4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ht="16.5" customHeight="1">
      <c r="A77" s="16"/>
      <c r="B77" s="16"/>
      <c r="C77" s="16"/>
      <c r="D77" s="4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ht="16.5" customHeight="1">
      <c r="A78" s="16"/>
      <c r="B78" s="16"/>
      <c r="C78" s="16"/>
      <c r="D78" s="4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ht="16.5" customHeight="1">
      <c r="A79" s="16"/>
      <c r="B79" s="16"/>
      <c r="C79" s="16"/>
      <c r="D79" s="4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ht="16.5" customHeight="1">
      <c r="A80" s="16"/>
      <c r="B80" s="16"/>
      <c r="C80" s="16"/>
      <c r="D80" s="4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ht="16.5" customHeight="1">
      <c r="A81" s="16"/>
      <c r="B81" s="16"/>
      <c r="C81" s="16"/>
      <c r="D81" s="4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ht="16.5" customHeight="1">
      <c r="A82" s="16"/>
      <c r="B82" s="16"/>
      <c r="C82" s="16"/>
      <c r="D82" s="4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ht="16.5" customHeight="1">
      <c r="A83" s="16"/>
      <c r="B83" s="16"/>
      <c r="C83" s="16"/>
      <c r="D83" s="4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ht="16.5" customHeight="1">
      <c r="A84" s="16"/>
      <c r="B84" s="16"/>
      <c r="C84" s="16"/>
      <c r="D84" s="4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ht="16.5" customHeight="1">
      <c r="A85" s="16"/>
      <c r="B85" s="16"/>
      <c r="C85" s="16"/>
      <c r="D85" s="4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ht="16.5" customHeight="1">
      <c r="A86" s="16"/>
      <c r="B86" s="16"/>
      <c r="C86" s="16"/>
      <c r="D86" s="4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ht="16.5" customHeight="1">
      <c r="A87" s="16"/>
      <c r="B87" s="16"/>
      <c r="C87" s="16"/>
      <c r="D87" s="4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ht="16.5" customHeight="1">
      <c r="A88" s="16"/>
      <c r="B88" s="16"/>
      <c r="C88" s="16"/>
      <c r="D88" s="4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ht="16.5" customHeight="1">
      <c r="A89" s="16"/>
      <c r="B89" s="16"/>
      <c r="C89" s="16"/>
      <c r="D89" s="4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ht="16.5" customHeight="1">
      <c r="A90" s="16"/>
      <c r="B90" s="16"/>
      <c r="C90" s="16"/>
      <c r="D90" s="4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ht="16.5" customHeight="1">
      <c r="A91" s="16"/>
      <c r="B91" s="16"/>
      <c r="C91" s="16"/>
      <c r="D91" s="4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ht="16.5" customHeight="1">
      <c r="A92" s="16"/>
      <c r="B92" s="16"/>
      <c r="C92" s="16"/>
      <c r="D92" s="4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ht="16.5" customHeight="1">
      <c r="A93" s="16"/>
      <c r="B93" s="16"/>
      <c r="C93" s="16"/>
      <c r="D93" s="4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ht="16.5" customHeight="1">
      <c r="A94" s="16"/>
      <c r="B94" s="16"/>
      <c r="C94" s="16"/>
      <c r="D94" s="4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ht="16.5" customHeight="1">
      <c r="A95" s="16"/>
      <c r="B95" s="16"/>
      <c r="C95" s="16"/>
      <c r="D95" s="4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ht="16.5" customHeight="1">
      <c r="A96" s="16"/>
      <c r="B96" s="16"/>
      <c r="C96" s="16"/>
      <c r="D96" s="4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ht="16.5" customHeight="1">
      <c r="A97" s="16"/>
      <c r="B97" s="16"/>
      <c r="C97" s="16"/>
      <c r="D97" s="4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ht="16.5" customHeight="1">
      <c r="A98" s="16"/>
      <c r="B98" s="16"/>
      <c r="C98" s="16"/>
      <c r="D98" s="4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ht="16.5" customHeight="1">
      <c r="A99" s="16"/>
      <c r="B99" s="16"/>
      <c r="C99" s="16"/>
      <c r="D99" s="4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ht="16.5" customHeight="1">
      <c r="A100" s="16"/>
      <c r="B100" s="16"/>
      <c r="C100" s="16"/>
      <c r="D100" s="4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ht="16.5" customHeight="1">
      <c r="A101" s="16"/>
      <c r="B101" s="16"/>
      <c r="C101" s="16"/>
      <c r="D101" s="4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ht="16.5" customHeight="1">
      <c r="A102" s="16"/>
      <c r="B102" s="16"/>
      <c r="C102" s="16"/>
      <c r="D102" s="4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ht="16.5" customHeight="1">
      <c r="A103" s="16"/>
      <c r="B103" s="16"/>
      <c r="C103" s="16"/>
      <c r="D103" s="4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ht="16.5" customHeight="1">
      <c r="A104" s="16"/>
      <c r="B104" s="16"/>
      <c r="C104" s="16"/>
      <c r="D104" s="4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ht="16.5" customHeight="1">
      <c r="A105" s="16"/>
      <c r="B105" s="16"/>
      <c r="C105" s="16"/>
      <c r="D105" s="4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ht="16.5" customHeight="1">
      <c r="A106" s="16"/>
      <c r="B106" s="16"/>
      <c r="C106" s="16"/>
      <c r="D106" s="4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ht="16.5" customHeight="1">
      <c r="A107" s="16"/>
      <c r="B107" s="16"/>
      <c r="C107" s="16"/>
      <c r="D107" s="4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ht="16.5" customHeight="1">
      <c r="A108" s="16"/>
      <c r="B108" s="16"/>
      <c r="C108" s="16"/>
      <c r="D108" s="4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ht="16.5" customHeight="1">
      <c r="A109" s="16"/>
      <c r="B109" s="16"/>
      <c r="C109" s="16"/>
      <c r="D109" s="4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ht="16.5" customHeight="1">
      <c r="A110" s="16"/>
      <c r="B110" s="16"/>
      <c r="C110" s="16"/>
      <c r="D110" s="4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ht="16.5" customHeight="1">
      <c r="A111" s="16"/>
      <c r="B111" s="16"/>
      <c r="C111" s="16"/>
      <c r="D111" s="4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ht="16.5" customHeight="1">
      <c r="A112" s="16"/>
      <c r="B112" s="16"/>
      <c r="C112" s="16"/>
      <c r="D112" s="4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ht="16.5" customHeight="1">
      <c r="A113" s="16"/>
      <c r="B113" s="16"/>
      <c r="C113" s="16"/>
      <c r="D113" s="4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ht="16.5" customHeight="1">
      <c r="A114" s="16"/>
      <c r="B114" s="16"/>
      <c r="C114" s="16"/>
      <c r="D114" s="4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ht="16.5" customHeight="1">
      <c r="A115" s="16"/>
      <c r="B115" s="16"/>
      <c r="C115" s="16"/>
      <c r="D115" s="4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ht="16.5" customHeight="1">
      <c r="A116" s="16"/>
      <c r="B116" s="16"/>
      <c r="C116" s="16"/>
      <c r="D116" s="4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ht="16.5" customHeight="1">
      <c r="A117" s="16"/>
      <c r="B117" s="16"/>
      <c r="C117" s="16"/>
      <c r="D117" s="4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ht="16.5" customHeight="1">
      <c r="A118" s="16"/>
      <c r="B118" s="16"/>
      <c r="C118" s="16"/>
      <c r="D118" s="4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ht="16.5" customHeight="1">
      <c r="A119" s="16"/>
      <c r="B119" s="16"/>
      <c r="C119" s="16"/>
      <c r="D119" s="4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ht="16.5" customHeight="1">
      <c r="A120" s="16"/>
      <c r="B120" s="16"/>
      <c r="C120" s="16"/>
      <c r="D120" s="4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ht="16.5" customHeight="1">
      <c r="A121" s="16"/>
      <c r="B121" s="16"/>
      <c r="C121" s="16"/>
      <c r="D121" s="4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ht="16.5" customHeight="1">
      <c r="A122" s="16"/>
      <c r="B122" s="16"/>
      <c r="C122" s="16"/>
      <c r="D122" s="4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ht="16.5" customHeight="1">
      <c r="A123" s="16"/>
      <c r="B123" s="16"/>
      <c r="C123" s="16"/>
      <c r="D123" s="4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ht="16.5" customHeight="1">
      <c r="A124" s="16"/>
      <c r="B124" s="16"/>
      <c r="C124" s="16"/>
      <c r="D124" s="4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ht="16.5" customHeight="1">
      <c r="A125" s="16"/>
      <c r="B125" s="16"/>
      <c r="C125" s="16"/>
      <c r="D125" s="4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ht="16.5" customHeight="1">
      <c r="A126" s="16"/>
      <c r="B126" s="16"/>
      <c r="C126" s="16"/>
      <c r="D126" s="4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ht="16.5" customHeight="1">
      <c r="A127" s="16"/>
      <c r="B127" s="16"/>
      <c r="C127" s="16"/>
      <c r="D127" s="4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ht="16.5" customHeight="1">
      <c r="A128" s="16"/>
      <c r="B128" s="16"/>
      <c r="C128" s="16"/>
      <c r="D128" s="4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ht="16.5" customHeight="1">
      <c r="A129" s="16"/>
      <c r="B129" s="16"/>
      <c r="C129" s="16"/>
      <c r="D129" s="4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ht="16.5" customHeight="1">
      <c r="A130" s="16"/>
      <c r="B130" s="16"/>
      <c r="C130" s="16"/>
      <c r="D130" s="4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ht="16.5" customHeight="1">
      <c r="A131" s="16"/>
      <c r="B131" s="16"/>
      <c r="C131" s="16"/>
      <c r="D131" s="4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ht="16.5" customHeight="1">
      <c r="A132" s="16"/>
      <c r="B132" s="16"/>
      <c r="C132" s="16"/>
      <c r="D132" s="4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ht="16.5" customHeight="1">
      <c r="A133" s="16"/>
      <c r="B133" s="16"/>
      <c r="C133" s="16"/>
      <c r="D133" s="4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ht="16.5" customHeight="1">
      <c r="A134" s="16"/>
      <c r="B134" s="16"/>
      <c r="C134" s="16"/>
      <c r="D134" s="4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ht="16.5" customHeight="1">
      <c r="A135" s="16"/>
      <c r="B135" s="16"/>
      <c r="C135" s="16"/>
      <c r="D135" s="4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ht="16.5" customHeight="1">
      <c r="A136" s="16"/>
      <c r="B136" s="16"/>
      <c r="C136" s="16"/>
      <c r="D136" s="4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ht="16.5" customHeight="1">
      <c r="A137" s="16"/>
      <c r="B137" s="16"/>
      <c r="C137" s="16"/>
      <c r="D137" s="4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ht="16.5" customHeight="1">
      <c r="A138" s="16"/>
      <c r="B138" s="16"/>
      <c r="C138" s="16"/>
      <c r="D138" s="4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ht="16.5" customHeight="1">
      <c r="A139" s="16"/>
      <c r="B139" s="16"/>
      <c r="C139" s="16"/>
      <c r="D139" s="4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ht="16.5" customHeight="1">
      <c r="A140" s="16"/>
      <c r="B140" s="16"/>
      <c r="C140" s="16"/>
      <c r="D140" s="4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ht="16.5" customHeight="1">
      <c r="A141" s="16"/>
      <c r="B141" s="16"/>
      <c r="C141" s="16"/>
      <c r="D141" s="4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ht="16.5" customHeight="1">
      <c r="A142" s="16"/>
      <c r="B142" s="16"/>
      <c r="C142" s="16"/>
      <c r="D142" s="4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ht="16.5" customHeight="1">
      <c r="A143" s="16"/>
      <c r="B143" s="16"/>
      <c r="C143" s="16"/>
      <c r="D143" s="4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ht="16.5" customHeight="1">
      <c r="A144" s="16"/>
      <c r="B144" s="16"/>
      <c r="C144" s="16"/>
      <c r="D144" s="4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ht="16.5" customHeight="1">
      <c r="A145" s="16"/>
      <c r="B145" s="16"/>
      <c r="C145" s="16"/>
      <c r="D145" s="4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ht="16.5" customHeight="1">
      <c r="A146" s="16"/>
      <c r="B146" s="16"/>
      <c r="C146" s="16"/>
      <c r="D146" s="4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ht="16.5" customHeight="1">
      <c r="A147" s="16"/>
      <c r="B147" s="16"/>
      <c r="C147" s="16"/>
      <c r="D147" s="4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ht="16.5" customHeight="1">
      <c r="A148" s="16"/>
      <c r="B148" s="16"/>
      <c r="C148" s="16"/>
      <c r="D148" s="4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ht="16.5" customHeight="1">
      <c r="A149" s="16"/>
      <c r="B149" s="16"/>
      <c r="C149" s="16"/>
      <c r="D149" s="4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ht="16.5" customHeight="1">
      <c r="A150" s="16"/>
      <c r="B150" s="16"/>
      <c r="C150" s="16"/>
      <c r="D150" s="4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ht="16.5" customHeight="1">
      <c r="A151" s="16"/>
      <c r="B151" s="16"/>
      <c r="C151" s="16"/>
      <c r="D151" s="4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ht="16.5" customHeight="1">
      <c r="A152" s="16"/>
      <c r="B152" s="16"/>
      <c r="C152" s="16"/>
      <c r="D152" s="4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ht="16.5" customHeight="1">
      <c r="A153" s="16"/>
      <c r="B153" s="16"/>
      <c r="C153" s="16"/>
      <c r="D153" s="4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ht="16.5" customHeight="1">
      <c r="A154" s="16"/>
      <c r="B154" s="16"/>
      <c r="C154" s="16"/>
      <c r="D154" s="4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ht="16.5" customHeight="1">
      <c r="A155" s="16"/>
      <c r="B155" s="16"/>
      <c r="C155" s="16"/>
      <c r="D155" s="4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ht="16.5" customHeight="1">
      <c r="A156" s="16"/>
      <c r="B156" s="16"/>
      <c r="C156" s="16"/>
      <c r="D156" s="4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ht="16.5" customHeight="1">
      <c r="A157" s="16"/>
      <c r="B157" s="16"/>
      <c r="C157" s="16"/>
      <c r="D157" s="4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ht="16.5" customHeight="1">
      <c r="A158" s="16"/>
      <c r="B158" s="16"/>
      <c r="C158" s="16"/>
      <c r="D158" s="4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ht="16.5" customHeight="1">
      <c r="A159" s="16"/>
      <c r="B159" s="16"/>
      <c r="C159" s="16"/>
      <c r="D159" s="4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ht="16.5" customHeight="1">
      <c r="A160" s="16"/>
      <c r="B160" s="16"/>
      <c r="C160" s="16"/>
      <c r="D160" s="4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ht="16.5" customHeight="1">
      <c r="A161" s="16"/>
      <c r="B161" s="16"/>
      <c r="C161" s="16"/>
      <c r="D161" s="4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ht="16.5" customHeight="1">
      <c r="A162" s="16"/>
      <c r="B162" s="16"/>
      <c r="C162" s="16"/>
      <c r="D162" s="4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ht="16.5" customHeight="1">
      <c r="A163" s="16"/>
      <c r="B163" s="16"/>
      <c r="C163" s="16"/>
      <c r="D163" s="4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ht="16.5" customHeight="1">
      <c r="A164" s="16"/>
      <c r="B164" s="16"/>
      <c r="C164" s="16"/>
      <c r="D164" s="4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ht="16.5" customHeight="1">
      <c r="A165" s="16"/>
      <c r="B165" s="16"/>
      <c r="C165" s="16"/>
      <c r="D165" s="4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ht="16.5" customHeight="1">
      <c r="A166" s="16"/>
      <c r="B166" s="16"/>
      <c r="C166" s="16"/>
      <c r="D166" s="4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ht="16.5" customHeight="1">
      <c r="A167" s="16"/>
      <c r="B167" s="16"/>
      <c r="C167" s="16"/>
      <c r="D167" s="4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ht="16.5" customHeight="1">
      <c r="A168" s="16"/>
      <c r="B168" s="16"/>
      <c r="C168" s="16"/>
      <c r="D168" s="4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ht="16.5" customHeight="1">
      <c r="A169" s="16"/>
      <c r="B169" s="16"/>
      <c r="C169" s="16"/>
      <c r="D169" s="4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ht="16.5" customHeight="1">
      <c r="A170" s="16"/>
      <c r="B170" s="16"/>
      <c r="C170" s="16"/>
      <c r="D170" s="4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ht="16.5" customHeight="1">
      <c r="A171" s="16"/>
      <c r="B171" s="16"/>
      <c r="C171" s="16"/>
      <c r="D171" s="4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ht="16.5" customHeight="1">
      <c r="A172" s="16"/>
      <c r="B172" s="16"/>
      <c r="C172" s="16"/>
      <c r="D172" s="4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ht="16.5" customHeight="1">
      <c r="A173" s="16"/>
      <c r="B173" s="16"/>
      <c r="C173" s="16"/>
      <c r="D173" s="4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ht="16.5" customHeight="1">
      <c r="A174" s="16"/>
      <c r="B174" s="16"/>
      <c r="C174" s="16"/>
      <c r="D174" s="4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ht="16.5" customHeight="1">
      <c r="A175" s="16"/>
      <c r="B175" s="16"/>
      <c r="C175" s="16"/>
      <c r="D175" s="4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ht="16.5" customHeight="1">
      <c r="A176" s="16"/>
      <c r="B176" s="16"/>
      <c r="C176" s="16"/>
      <c r="D176" s="4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ht="16.5" customHeight="1">
      <c r="A177" s="16"/>
      <c r="B177" s="16"/>
      <c r="C177" s="16"/>
      <c r="D177" s="4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ht="16.5" customHeight="1">
      <c r="A178" s="16"/>
      <c r="B178" s="16"/>
      <c r="C178" s="16"/>
      <c r="D178" s="4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ht="16.5" customHeight="1">
      <c r="A179" s="16"/>
      <c r="B179" s="16"/>
      <c r="C179" s="16"/>
      <c r="D179" s="4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ht="16.5" customHeight="1">
      <c r="A180" s="16"/>
      <c r="B180" s="16"/>
      <c r="C180" s="16"/>
      <c r="D180" s="4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ht="16.5" customHeight="1">
      <c r="A181" s="16"/>
      <c r="B181" s="16"/>
      <c r="C181" s="16"/>
      <c r="D181" s="4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ht="16.5" customHeight="1">
      <c r="A182" s="16"/>
      <c r="B182" s="16"/>
      <c r="C182" s="16"/>
      <c r="D182" s="4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ht="16.5" customHeight="1">
      <c r="A183" s="16"/>
      <c r="B183" s="16"/>
      <c r="C183" s="16"/>
      <c r="D183" s="4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ht="16.5" customHeight="1">
      <c r="A184" s="16"/>
      <c r="B184" s="16"/>
      <c r="C184" s="16"/>
      <c r="D184" s="4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ht="16.5" customHeight="1">
      <c r="A185" s="16"/>
      <c r="B185" s="16"/>
      <c r="C185" s="16"/>
      <c r="D185" s="4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ht="16.5" customHeight="1">
      <c r="A186" s="16"/>
      <c r="B186" s="16"/>
      <c r="C186" s="16"/>
      <c r="D186" s="4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ht="16.5" customHeight="1">
      <c r="A187" s="16"/>
      <c r="B187" s="16"/>
      <c r="C187" s="16"/>
      <c r="D187" s="4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ht="16.5" customHeight="1">
      <c r="A188" s="16"/>
      <c r="B188" s="16"/>
      <c r="C188" s="16"/>
      <c r="D188" s="4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ht="16.5" customHeight="1">
      <c r="A189" s="16"/>
      <c r="B189" s="16"/>
      <c r="C189" s="16"/>
      <c r="D189" s="4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ht="16.5" customHeight="1">
      <c r="A190" s="16"/>
      <c r="B190" s="16"/>
      <c r="C190" s="16"/>
      <c r="D190" s="4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ht="16.5" customHeight="1">
      <c r="A191" s="16"/>
      <c r="B191" s="16"/>
      <c r="C191" s="16"/>
      <c r="D191" s="4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ht="16.5" customHeight="1">
      <c r="A192" s="16"/>
      <c r="B192" s="16"/>
      <c r="C192" s="16"/>
      <c r="D192" s="4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ht="16.5" customHeight="1">
      <c r="A193" s="16"/>
      <c r="B193" s="16"/>
      <c r="C193" s="16"/>
      <c r="D193" s="4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  <row r="194" ht="16.5" customHeight="1">
      <c r="A194" s="16"/>
      <c r="B194" s="16"/>
      <c r="C194" s="16"/>
      <c r="D194" s="4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</row>
    <row r="195" ht="16.5" customHeight="1">
      <c r="A195" s="16"/>
      <c r="B195" s="16"/>
      <c r="C195" s="16"/>
      <c r="D195" s="49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</row>
    <row r="196" ht="16.5" customHeight="1">
      <c r="A196" s="16"/>
      <c r="B196" s="16"/>
      <c r="C196" s="16"/>
      <c r="D196" s="49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</row>
    <row r="197" ht="16.5" customHeight="1">
      <c r="A197" s="16"/>
      <c r="B197" s="16"/>
      <c r="C197" s="16"/>
      <c r="D197" s="49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</row>
    <row r="198" ht="16.5" customHeight="1">
      <c r="A198" s="16"/>
      <c r="B198" s="16"/>
      <c r="C198" s="16"/>
      <c r="D198" s="49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</row>
  </sheetData>
  <mergeCells count="12">
    <mergeCell ref="A1:F1"/>
    <mergeCell ref="A11:F11"/>
    <mergeCell ref="A13:A16"/>
    <mergeCell ref="B12:C12"/>
    <mergeCell ref="B13:C13"/>
    <mergeCell ref="A3:F3"/>
    <mergeCell ref="B5:D5"/>
    <mergeCell ref="B2:C2"/>
    <mergeCell ref="D2:E2"/>
    <mergeCell ref="B14:C14"/>
    <mergeCell ref="B15:C15"/>
    <mergeCell ref="B16:C16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7.02734375" customWidth="1"/>
    <col min="2" max="2" width="22.3740234375" customWidth="1"/>
    <col min="3" max="3" width="24.6796875" customWidth="1"/>
    <col min="4" max="4" width="32.736328125" customWidth="1" style="14"/>
    <col min="5" max="5" width="30.3603515625"/>
    <col min="6" max="6" width="34.388671875" customWidth="1"/>
  </cols>
  <sheetData>
    <row r="1" ht="26.25" customHeight="1">
      <c r="A1" s="76" t="s">
        <v>0</v>
      </c>
      <c r="B1" s="71"/>
      <c r="C1" s="71"/>
      <c r="D1" s="71"/>
      <c r="E1" s="71"/>
      <c r="F1" s="86"/>
      <c r="G1" s="2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ht="17.25" customHeight="1">
      <c r="A2" s="93"/>
      <c r="B2" s="94" t="s">
        <v>135</v>
      </c>
      <c r="C2" s="95"/>
      <c r="D2" s="94" t="s">
        <v>82</v>
      </c>
      <c r="E2" s="95"/>
      <c r="F2" s="96"/>
      <c r="G2" s="2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ht="27.75" customHeight="1">
      <c r="A3" s="97" t="s">
        <v>3</v>
      </c>
      <c r="B3" s="98"/>
      <c r="C3" s="98"/>
      <c r="D3" s="98"/>
      <c r="E3" s="98"/>
      <c r="F3" s="99"/>
      <c r="G3" s="20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ht="27.75" customHeight="1">
      <c r="A4" s="77" t="s">
        <v>5</v>
      </c>
      <c r="B4" s="39" t="s">
        <v>6</v>
      </c>
      <c r="C4" s="39" t="s">
        <v>7</v>
      </c>
      <c r="D4" s="39" t="s">
        <v>8</v>
      </c>
      <c r="E4" s="39" t="s">
        <v>9</v>
      </c>
      <c r="F4" s="87" t="s">
        <v>10</v>
      </c>
      <c r="G4" s="20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ht="27.75" customHeight="1">
      <c r="A5" s="78" t="s">
        <v>11</v>
      </c>
      <c r="B5" s="8" t="n">
        <v>46366</v>
      </c>
      <c r="C5" s="6"/>
      <c r="D5" s="6"/>
      <c r="E5" s="10" t="s">
        <v>136</v>
      </c>
      <c r="F5" s="28" t="s">
        <v>137</v>
      </c>
      <c r="G5" s="20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27.75" customHeight="1">
      <c r="A6" s="79" t="s">
        <v>12</v>
      </c>
      <c r="B6" s="31" t="n">
        <v>4469</v>
      </c>
      <c r="C6" s="31" t="n">
        <v>3785</v>
      </c>
      <c r="D6" s="31" t="n">
        <f>SUM(B6,C6)</f>
        <v>8254</v>
      </c>
      <c r="E6" s="10" t="s">
        <v>138</v>
      </c>
      <c r="F6" s="89"/>
      <c r="G6" s="20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ht="27.75" customHeight="1">
      <c r="A7" s="80" t="s">
        <v>13</v>
      </c>
      <c r="B7" s="9" t="n">
        <v>0.0865</v>
      </c>
      <c r="C7" s="9" t="n">
        <f>C6/B5*100%</f>
        <v>0.0816330932148557</v>
      </c>
      <c r="D7" s="17" t="n">
        <f>D6/B5*100%</f>
        <v>0.178018375533796</v>
      </c>
      <c r="E7" s="10" t="s">
        <v>139</v>
      </c>
      <c r="F7" s="90"/>
      <c r="G7" s="2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ht="27.75" customHeight="1">
      <c r="A8" s="81" t="s">
        <v>15</v>
      </c>
      <c r="B8" s="15" t="n">
        <f>B9/B6</f>
        <v>14.8404341015887</v>
      </c>
      <c r="C8" s="15" t="n">
        <f>C9/C6</f>
        <v>16.4351387054161</v>
      </c>
      <c r="D8" s="15" t="n">
        <f>D9/D6</f>
        <v>15.5717106857281</v>
      </c>
      <c r="E8" s="10" t="s">
        <v>140</v>
      </c>
      <c r="F8" s="22"/>
      <c r="G8" s="2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ht="27.75" customHeight="1">
      <c r="A9" s="100" t="s">
        <v>16</v>
      </c>
      <c r="B9" s="74" t="n">
        <v>66321.9</v>
      </c>
      <c r="C9" s="74" t="n">
        <v>62207</v>
      </c>
      <c r="D9" s="74" t="n">
        <f>SUM(B9,C9)</f>
        <v>128528.9</v>
      </c>
      <c r="E9" s="25" t="s">
        <v>141</v>
      </c>
      <c r="F9" s="21"/>
      <c r="G9" s="2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ht="27.75" customHeight="1">
      <c r="A10" s="101"/>
      <c r="B10" s="102"/>
      <c r="C10" s="102"/>
      <c r="D10" s="102"/>
      <c r="E10" s="102"/>
      <c r="F10" s="103"/>
      <c r="G10" s="2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27.75" customHeight="1">
      <c r="A11" s="97" t="s">
        <v>18</v>
      </c>
      <c r="B11" s="104"/>
      <c r="C11" s="104"/>
      <c r="D11" s="104"/>
      <c r="E11" s="104"/>
      <c r="F11" s="105"/>
      <c r="G11" s="2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ht="27.75" customHeight="1">
      <c r="A12" s="82" t="s">
        <v>19</v>
      </c>
      <c r="B12" s="37" t="s">
        <v>88</v>
      </c>
      <c r="C12" s="38"/>
      <c r="D12" s="39" t="s">
        <v>21</v>
      </c>
      <c r="E12" s="39" t="s">
        <v>22</v>
      </c>
      <c r="F12" s="87" t="s">
        <v>10</v>
      </c>
      <c r="G12" s="20"/>
      <c r="H12" s="20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ht="61.916666666666664" customHeight="1">
      <c r="A13" s="83" t="s">
        <v>89</v>
      </c>
      <c r="B13" s="112" t="s">
        <v>90</v>
      </c>
      <c r="C13" s="69"/>
      <c r="D13" s="29" t="s">
        <v>142</v>
      </c>
      <c r="E13" s="44"/>
      <c r="F13" s="18" t="s">
        <v>118</v>
      </c>
      <c r="G13" s="20"/>
      <c r="H13" s="20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45.75" customHeight="1">
      <c r="A14" s="84"/>
      <c r="B14" s="70" t="s">
        <v>99</v>
      </c>
      <c r="C14" s="69"/>
      <c r="D14" s="33" t="s">
        <v>100</v>
      </c>
      <c r="E14" s="33" t="s">
        <v>143</v>
      </c>
      <c r="F14" s="11" t="s">
        <v>144</v>
      </c>
      <c r="G14" s="20"/>
      <c r="H14" s="20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ht="30.75" customHeight="1">
      <c r="A15" s="84"/>
      <c r="B15" s="70" t="s">
        <v>102</v>
      </c>
      <c r="C15" s="69"/>
      <c r="D15" s="33" t="s">
        <v>103</v>
      </c>
      <c r="E15" s="5" t="s">
        <v>145</v>
      </c>
      <c r="F15" s="11" t="s">
        <v>146</v>
      </c>
      <c r="G15" s="20"/>
      <c r="H15" s="20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ht="27.75" customHeight="1">
      <c r="A16" s="85"/>
      <c r="B16" s="72" t="s">
        <v>106</v>
      </c>
      <c r="C16" s="73"/>
      <c r="D16" s="74" t="s">
        <v>107</v>
      </c>
      <c r="E16" s="75" t="s">
        <v>147</v>
      </c>
      <c r="F16" s="92"/>
      <c r="G16" s="20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ht="16.5" customHeight="1">
      <c r="A17" s="34"/>
      <c r="B17" s="34"/>
      <c r="C17" s="34"/>
      <c r="D17" s="34"/>
      <c r="E17" s="34"/>
      <c r="F17" s="3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ht="63.99999999999998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ht="16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ht="16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ht="16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ht="16.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ht="16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ht="16.5" customHeight="1">
      <c r="A24" s="16"/>
      <c r="B24" s="16"/>
      <c r="C24" s="16"/>
      <c r="D24" s="4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ht="16.5" customHeight="1">
      <c r="A25" s="16"/>
      <c r="B25" s="16"/>
      <c r="C25" s="16"/>
      <c r="D25" s="4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ht="16.5" customHeight="1">
      <c r="A26" s="16"/>
      <c r="B26" s="16"/>
      <c r="C26" s="16"/>
      <c r="D26" s="4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ht="16.5" customHeight="1">
      <c r="A27" s="16"/>
      <c r="B27" s="16"/>
      <c r="C27" s="16"/>
      <c r="D27" s="4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ht="16.5" customHeight="1">
      <c r="A28" s="16"/>
      <c r="B28" s="16"/>
      <c r="C28" s="16"/>
      <c r="D28" s="4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ht="16.5" customHeight="1">
      <c r="A29" s="16"/>
      <c r="B29" s="16"/>
      <c r="C29" s="16"/>
      <c r="D29" s="4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ht="16.5" customHeight="1">
      <c r="A30" s="16"/>
      <c r="B30" s="16"/>
      <c r="C30" s="16"/>
      <c r="D30" s="4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ht="16.5" customHeight="1">
      <c r="A31" s="16"/>
      <c r="B31" s="16"/>
      <c r="C31" s="16"/>
      <c r="D31" s="4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ht="16.5" customHeight="1">
      <c r="A32" s="16"/>
      <c r="B32" s="16"/>
      <c r="C32" s="16"/>
      <c r="D32" s="4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ht="16.5" customHeight="1">
      <c r="A33" s="16"/>
      <c r="B33" s="16"/>
      <c r="C33" s="16"/>
      <c r="D33" s="4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ht="16.5" customHeight="1">
      <c r="A34" s="16"/>
      <c r="B34" s="16"/>
      <c r="C34" s="16"/>
      <c r="D34" s="4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ht="16.5" customHeight="1">
      <c r="A35" s="16"/>
      <c r="B35" s="16"/>
      <c r="C35" s="16"/>
      <c r="D35" s="4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ht="16.5" customHeight="1">
      <c r="A36" s="16"/>
      <c r="B36" s="16"/>
      <c r="C36" s="16"/>
      <c r="D36" s="4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ht="16.5" customHeight="1">
      <c r="A37" s="16"/>
      <c r="B37" s="16"/>
      <c r="C37" s="16"/>
      <c r="D37" s="4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ht="16.5" customHeight="1">
      <c r="A38" s="16"/>
      <c r="B38" s="16"/>
      <c r="C38" s="16"/>
      <c r="D38" s="4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ht="16.5" customHeight="1">
      <c r="A39" s="16"/>
      <c r="B39" s="16"/>
      <c r="C39" s="16"/>
      <c r="D39" s="4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ht="16.5" customHeight="1">
      <c r="A40" s="16"/>
      <c r="B40" s="16"/>
      <c r="C40" s="16"/>
      <c r="D40" s="4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ht="16.5" customHeight="1">
      <c r="A41" s="16"/>
      <c r="B41" s="16"/>
      <c r="C41" s="16"/>
      <c r="D41" s="4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ht="16.5" customHeight="1">
      <c r="A42" s="16"/>
      <c r="B42" s="16"/>
      <c r="C42" s="16"/>
      <c r="D42" s="4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ht="16.5" customHeight="1">
      <c r="A43" s="16"/>
      <c r="B43" s="16"/>
      <c r="C43" s="16"/>
      <c r="D43" s="4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ht="16.5" customHeight="1">
      <c r="A44" s="16"/>
      <c r="B44" s="16"/>
      <c r="C44" s="16"/>
      <c r="D44" s="4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ht="16.5" customHeight="1">
      <c r="A45" s="16"/>
      <c r="B45" s="16"/>
      <c r="C45" s="16"/>
      <c r="D45" s="4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ht="16.5" customHeight="1">
      <c r="A46" s="16"/>
      <c r="B46" s="16"/>
      <c r="C46" s="16"/>
      <c r="D46" s="4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ht="16.5" customHeight="1">
      <c r="A47" s="16"/>
      <c r="B47" s="16"/>
      <c r="C47" s="16"/>
      <c r="D47" s="4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ht="16.5" customHeight="1">
      <c r="A48" s="16"/>
      <c r="B48" s="16"/>
      <c r="C48" s="16"/>
      <c r="D48" s="4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ht="16.5" customHeight="1">
      <c r="A49" s="16"/>
      <c r="B49" s="16"/>
      <c r="C49" s="16"/>
      <c r="D49" s="4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ht="16.5" customHeight="1">
      <c r="A50" s="16"/>
      <c r="B50" s="16"/>
      <c r="C50" s="16"/>
      <c r="D50" s="4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ht="16.5" customHeight="1">
      <c r="A51" s="16"/>
      <c r="B51" s="16"/>
      <c r="C51" s="16"/>
      <c r="D51" s="4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ht="16.5" customHeight="1">
      <c r="A52" s="16"/>
      <c r="B52" s="16"/>
      <c r="C52" s="16"/>
      <c r="D52" s="4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ht="16.5" customHeight="1">
      <c r="A53" s="16"/>
      <c r="B53" s="16"/>
      <c r="C53" s="16"/>
      <c r="D53" s="4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ht="16.5" customHeight="1">
      <c r="A54" s="16"/>
      <c r="B54" s="16"/>
      <c r="C54" s="16"/>
      <c r="D54" s="4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ht="16.5" customHeight="1">
      <c r="A55" s="16"/>
      <c r="B55" s="16"/>
      <c r="C55" s="16"/>
      <c r="D55" s="4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ht="16.5" customHeight="1">
      <c r="A56" s="16"/>
      <c r="B56" s="16"/>
      <c r="C56" s="16"/>
      <c r="D56" s="4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ht="16.5" customHeight="1">
      <c r="A57" s="16"/>
      <c r="B57" s="16"/>
      <c r="C57" s="16"/>
      <c r="D57" s="4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ht="16.5" customHeight="1">
      <c r="A58" s="16"/>
      <c r="B58" s="16"/>
      <c r="C58" s="16"/>
      <c r="D58" s="4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ht="16.5" customHeight="1">
      <c r="A59" s="16"/>
      <c r="B59" s="16"/>
      <c r="C59" s="16"/>
      <c r="D59" s="4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ht="16.5" customHeight="1">
      <c r="A60" s="16"/>
      <c r="B60" s="16"/>
      <c r="C60" s="16"/>
      <c r="D60" s="4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ht="16.5" customHeight="1">
      <c r="A61" s="16"/>
      <c r="B61" s="16"/>
      <c r="C61" s="16"/>
      <c r="D61" s="4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ht="16.5" customHeight="1">
      <c r="A62" s="16"/>
      <c r="B62" s="16"/>
      <c r="C62" s="16"/>
      <c r="D62" s="4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ht="16.5" customHeight="1">
      <c r="A63" s="16"/>
      <c r="B63" s="16"/>
      <c r="C63" s="16"/>
      <c r="D63" s="4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ht="16.5" customHeight="1">
      <c r="A64" s="16"/>
      <c r="B64" s="16"/>
      <c r="C64" s="16"/>
      <c r="D64" s="4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ht="16.5" customHeight="1">
      <c r="A65" s="16"/>
      <c r="B65" s="16"/>
      <c r="C65" s="16"/>
      <c r="D65" s="4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ht="16.5" customHeight="1">
      <c r="A66" s="16"/>
      <c r="B66" s="16"/>
      <c r="C66" s="16"/>
      <c r="D66" s="4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ht="16.5" customHeight="1">
      <c r="A67" s="16"/>
      <c r="B67" s="16"/>
      <c r="C67" s="16"/>
      <c r="D67" s="4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ht="16.5" customHeight="1">
      <c r="A68" s="16"/>
      <c r="B68" s="16"/>
      <c r="C68" s="16"/>
      <c r="D68" s="4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ht="16.5" customHeight="1">
      <c r="A69" s="16"/>
      <c r="B69" s="16"/>
      <c r="C69" s="16"/>
      <c r="D69" s="4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ht="16.5" customHeight="1">
      <c r="A70" s="16"/>
      <c r="B70" s="16"/>
      <c r="C70" s="16"/>
      <c r="D70" s="4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ht="16.5" customHeight="1">
      <c r="A71" s="16"/>
      <c r="B71" s="16"/>
      <c r="C71" s="16"/>
      <c r="D71" s="4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ht="16.5" customHeight="1">
      <c r="A72" s="16"/>
      <c r="B72" s="16"/>
      <c r="C72" s="16"/>
      <c r="D72" s="4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ht="16.5" customHeight="1">
      <c r="A73" s="16"/>
      <c r="B73" s="16"/>
      <c r="C73" s="16"/>
      <c r="D73" s="4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ht="16.5" customHeight="1">
      <c r="A74" s="16"/>
      <c r="B74" s="16"/>
      <c r="C74" s="16"/>
      <c r="D74" s="4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ht="16.5" customHeight="1">
      <c r="A75" s="16"/>
      <c r="B75" s="16"/>
      <c r="C75" s="16"/>
      <c r="D75" s="4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ht="16.5" customHeight="1">
      <c r="A76" s="16"/>
      <c r="B76" s="16"/>
      <c r="C76" s="16"/>
      <c r="D76" s="4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ht="16.5" customHeight="1">
      <c r="A77" s="16"/>
      <c r="B77" s="16"/>
      <c r="C77" s="16"/>
      <c r="D77" s="4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ht="16.5" customHeight="1">
      <c r="A78" s="16"/>
      <c r="B78" s="16"/>
      <c r="C78" s="16"/>
      <c r="D78" s="4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ht="16.5" customHeight="1">
      <c r="A79" s="16"/>
      <c r="B79" s="16"/>
      <c r="C79" s="16"/>
      <c r="D79" s="4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ht="16.5" customHeight="1">
      <c r="A80" s="16"/>
      <c r="B80" s="16"/>
      <c r="C80" s="16"/>
      <c r="D80" s="4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ht="16.5" customHeight="1">
      <c r="A81" s="16"/>
      <c r="B81" s="16"/>
      <c r="C81" s="16"/>
      <c r="D81" s="4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ht="16.5" customHeight="1">
      <c r="A82" s="16"/>
      <c r="B82" s="16"/>
      <c r="C82" s="16"/>
      <c r="D82" s="4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ht="16.5" customHeight="1">
      <c r="A83" s="16"/>
      <c r="B83" s="16"/>
      <c r="C83" s="16"/>
      <c r="D83" s="4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ht="16.5" customHeight="1">
      <c r="A84" s="16"/>
      <c r="B84" s="16"/>
      <c r="C84" s="16"/>
      <c r="D84" s="4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ht="16.5" customHeight="1">
      <c r="A85" s="16"/>
      <c r="B85" s="16"/>
      <c r="C85" s="16"/>
      <c r="D85" s="4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ht="16.5" customHeight="1">
      <c r="A86" s="16"/>
      <c r="B86" s="16"/>
      <c r="C86" s="16"/>
      <c r="D86" s="4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ht="16.5" customHeight="1">
      <c r="A87" s="16"/>
      <c r="B87" s="16"/>
      <c r="C87" s="16"/>
      <c r="D87" s="4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ht="16.5" customHeight="1">
      <c r="A88" s="16"/>
      <c r="B88" s="16"/>
      <c r="C88" s="16"/>
      <c r="D88" s="4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ht="16.5" customHeight="1">
      <c r="A89" s="16"/>
      <c r="B89" s="16"/>
      <c r="C89" s="16"/>
      <c r="D89" s="4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ht="16.5" customHeight="1">
      <c r="A90" s="16"/>
      <c r="B90" s="16"/>
      <c r="C90" s="16"/>
      <c r="D90" s="4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ht="16.5" customHeight="1">
      <c r="A91" s="16"/>
      <c r="B91" s="16"/>
      <c r="C91" s="16"/>
      <c r="D91" s="4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ht="16.5" customHeight="1">
      <c r="A92" s="16"/>
      <c r="B92" s="16"/>
      <c r="C92" s="16"/>
      <c r="D92" s="4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ht="16.5" customHeight="1">
      <c r="A93" s="16"/>
      <c r="B93" s="16"/>
      <c r="C93" s="16"/>
      <c r="D93" s="4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ht="16.5" customHeight="1">
      <c r="A94" s="16"/>
      <c r="B94" s="16"/>
      <c r="C94" s="16"/>
      <c r="D94" s="4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ht="16.5" customHeight="1">
      <c r="A95" s="16"/>
      <c r="B95" s="16"/>
      <c r="C95" s="16"/>
      <c r="D95" s="4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ht="16.5" customHeight="1">
      <c r="A96" s="16"/>
      <c r="B96" s="16"/>
      <c r="C96" s="16"/>
      <c r="D96" s="4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ht="16.5" customHeight="1">
      <c r="A97" s="16"/>
      <c r="B97" s="16"/>
      <c r="C97" s="16"/>
      <c r="D97" s="4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ht="16.5" customHeight="1">
      <c r="A98" s="16"/>
      <c r="B98" s="16"/>
      <c r="C98" s="16"/>
      <c r="D98" s="4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ht="16.5" customHeight="1">
      <c r="A99" s="16"/>
      <c r="B99" s="16"/>
      <c r="C99" s="16"/>
      <c r="D99" s="4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ht="16.5" customHeight="1">
      <c r="A100" s="16"/>
      <c r="B100" s="16"/>
      <c r="C100" s="16"/>
      <c r="D100" s="4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ht="16.5" customHeight="1">
      <c r="A101" s="16"/>
      <c r="B101" s="16"/>
      <c r="C101" s="16"/>
      <c r="D101" s="4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ht="16.5" customHeight="1">
      <c r="A102" s="16"/>
      <c r="B102" s="16"/>
      <c r="C102" s="16"/>
      <c r="D102" s="4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ht="16.5" customHeight="1">
      <c r="A103" s="16"/>
      <c r="B103" s="16"/>
      <c r="C103" s="16"/>
      <c r="D103" s="4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ht="16.5" customHeight="1">
      <c r="A104" s="16"/>
      <c r="B104" s="16"/>
      <c r="C104" s="16"/>
      <c r="D104" s="4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ht="16.5" customHeight="1">
      <c r="A105" s="16"/>
      <c r="B105" s="16"/>
      <c r="C105" s="16"/>
      <c r="D105" s="4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ht="16.5" customHeight="1">
      <c r="A106" s="16"/>
      <c r="B106" s="16"/>
      <c r="C106" s="16"/>
      <c r="D106" s="4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ht="16.5" customHeight="1">
      <c r="A107" s="16"/>
      <c r="B107" s="16"/>
      <c r="C107" s="16"/>
      <c r="D107" s="4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ht="16.5" customHeight="1">
      <c r="A108" s="16"/>
      <c r="B108" s="16"/>
      <c r="C108" s="16"/>
      <c r="D108" s="4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ht="16.5" customHeight="1">
      <c r="A109" s="16"/>
      <c r="B109" s="16"/>
      <c r="C109" s="16"/>
      <c r="D109" s="4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ht="16.5" customHeight="1">
      <c r="A110" s="16"/>
      <c r="B110" s="16"/>
      <c r="C110" s="16"/>
      <c r="D110" s="4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ht="16.5" customHeight="1">
      <c r="A111" s="16"/>
      <c r="B111" s="16"/>
      <c r="C111" s="16"/>
      <c r="D111" s="4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ht="16.5" customHeight="1">
      <c r="A112" s="16"/>
      <c r="B112" s="16"/>
      <c r="C112" s="16"/>
      <c r="D112" s="4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ht="16.5" customHeight="1">
      <c r="A113" s="16"/>
      <c r="B113" s="16"/>
      <c r="C113" s="16"/>
      <c r="D113" s="4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ht="16.5" customHeight="1">
      <c r="A114" s="16"/>
      <c r="B114" s="16"/>
      <c r="C114" s="16"/>
      <c r="D114" s="4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ht="16.5" customHeight="1">
      <c r="A115" s="16"/>
      <c r="B115" s="16"/>
      <c r="C115" s="16"/>
      <c r="D115" s="4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ht="16.5" customHeight="1">
      <c r="A116" s="16"/>
      <c r="B116" s="16"/>
      <c r="C116" s="16"/>
      <c r="D116" s="4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ht="16.5" customHeight="1">
      <c r="A117" s="16"/>
      <c r="B117" s="16"/>
      <c r="C117" s="16"/>
      <c r="D117" s="4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ht="16.5" customHeight="1">
      <c r="A118" s="16"/>
      <c r="B118" s="16"/>
      <c r="C118" s="16"/>
      <c r="D118" s="4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ht="16.5" customHeight="1">
      <c r="A119" s="16"/>
      <c r="B119" s="16"/>
      <c r="C119" s="16"/>
      <c r="D119" s="4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ht="16.5" customHeight="1">
      <c r="A120" s="16"/>
      <c r="B120" s="16"/>
      <c r="C120" s="16"/>
      <c r="D120" s="4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ht="16.5" customHeight="1">
      <c r="A121" s="16"/>
      <c r="B121" s="16"/>
      <c r="C121" s="16"/>
      <c r="D121" s="4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ht="16.5" customHeight="1">
      <c r="A122" s="16"/>
      <c r="B122" s="16"/>
      <c r="C122" s="16"/>
      <c r="D122" s="4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ht="16.5" customHeight="1">
      <c r="A123" s="16"/>
      <c r="B123" s="16"/>
      <c r="C123" s="16"/>
      <c r="D123" s="4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ht="16.5" customHeight="1">
      <c r="A124" s="16"/>
      <c r="B124" s="16"/>
      <c r="C124" s="16"/>
      <c r="D124" s="4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ht="16.5" customHeight="1">
      <c r="A125" s="16"/>
      <c r="B125" s="16"/>
      <c r="C125" s="16"/>
      <c r="D125" s="4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ht="16.5" customHeight="1">
      <c r="A126" s="16"/>
      <c r="B126" s="16"/>
      <c r="C126" s="16"/>
      <c r="D126" s="4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ht="16.5" customHeight="1">
      <c r="A127" s="16"/>
      <c r="B127" s="16"/>
      <c r="C127" s="16"/>
      <c r="D127" s="4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ht="16.5" customHeight="1">
      <c r="A128" s="16"/>
      <c r="B128" s="16"/>
      <c r="C128" s="16"/>
      <c r="D128" s="4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ht="16.5" customHeight="1">
      <c r="A129" s="16"/>
      <c r="B129" s="16"/>
      <c r="C129" s="16"/>
      <c r="D129" s="4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ht="16.5" customHeight="1">
      <c r="A130" s="16"/>
      <c r="B130" s="16"/>
      <c r="C130" s="16"/>
      <c r="D130" s="4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ht="16.5" customHeight="1">
      <c r="A131" s="16"/>
      <c r="B131" s="16"/>
      <c r="C131" s="16"/>
      <c r="D131" s="4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ht="16.5" customHeight="1">
      <c r="A132" s="16"/>
      <c r="B132" s="16"/>
      <c r="C132" s="16"/>
      <c r="D132" s="4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ht="16.5" customHeight="1">
      <c r="A133" s="16"/>
      <c r="B133" s="16"/>
      <c r="C133" s="16"/>
      <c r="D133" s="4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ht="16.5" customHeight="1">
      <c r="A134" s="16"/>
      <c r="B134" s="16"/>
      <c r="C134" s="16"/>
      <c r="D134" s="4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ht="16.5" customHeight="1">
      <c r="A135" s="16"/>
      <c r="B135" s="16"/>
      <c r="C135" s="16"/>
      <c r="D135" s="4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ht="16.5" customHeight="1">
      <c r="A136" s="16"/>
      <c r="B136" s="16"/>
      <c r="C136" s="16"/>
      <c r="D136" s="4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ht="16.5" customHeight="1">
      <c r="A137" s="16"/>
      <c r="B137" s="16"/>
      <c r="C137" s="16"/>
      <c r="D137" s="4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ht="16.5" customHeight="1">
      <c r="A138" s="16"/>
      <c r="B138" s="16"/>
      <c r="C138" s="16"/>
      <c r="D138" s="4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ht="16.5" customHeight="1">
      <c r="A139" s="16"/>
      <c r="B139" s="16"/>
      <c r="C139" s="16"/>
      <c r="D139" s="4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ht="16.5" customHeight="1">
      <c r="A140" s="16"/>
      <c r="B140" s="16"/>
      <c r="C140" s="16"/>
      <c r="D140" s="4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ht="16.5" customHeight="1">
      <c r="A141" s="16"/>
      <c r="B141" s="16"/>
      <c r="C141" s="16"/>
      <c r="D141" s="4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ht="16.5" customHeight="1">
      <c r="A142" s="16"/>
      <c r="B142" s="16"/>
      <c r="C142" s="16"/>
      <c r="D142" s="4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ht="16.5" customHeight="1">
      <c r="A143" s="16"/>
      <c r="B143" s="16"/>
      <c r="C143" s="16"/>
      <c r="D143" s="4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ht="16.5" customHeight="1">
      <c r="A144" s="16"/>
      <c r="B144" s="16"/>
      <c r="C144" s="16"/>
      <c r="D144" s="4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ht="16.5" customHeight="1">
      <c r="A145" s="16"/>
      <c r="B145" s="16"/>
      <c r="C145" s="16"/>
      <c r="D145" s="4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ht="16.5" customHeight="1">
      <c r="A146" s="16"/>
      <c r="B146" s="16"/>
      <c r="C146" s="16"/>
      <c r="D146" s="4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ht="16.5" customHeight="1">
      <c r="A147" s="16"/>
      <c r="B147" s="16"/>
      <c r="C147" s="16"/>
      <c r="D147" s="4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ht="16.5" customHeight="1">
      <c r="A148" s="16"/>
      <c r="B148" s="16"/>
      <c r="C148" s="16"/>
      <c r="D148" s="4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ht="16.5" customHeight="1">
      <c r="A149" s="16"/>
      <c r="B149" s="16"/>
      <c r="C149" s="16"/>
      <c r="D149" s="4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ht="16.5" customHeight="1">
      <c r="A150" s="16"/>
      <c r="B150" s="16"/>
      <c r="C150" s="16"/>
      <c r="D150" s="4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ht="16.5" customHeight="1">
      <c r="A151" s="16"/>
      <c r="B151" s="16"/>
      <c r="C151" s="16"/>
      <c r="D151" s="4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ht="16.5" customHeight="1">
      <c r="A152" s="16"/>
      <c r="B152" s="16"/>
      <c r="C152" s="16"/>
      <c r="D152" s="4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ht="16.5" customHeight="1">
      <c r="A153" s="16"/>
      <c r="B153" s="16"/>
      <c r="C153" s="16"/>
      <c r="D153" s="4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ht="16.5" customHeight="1">
      <c r="A154" s="16"/>
      <c r="B154" s="16"/>
      <c r="C154" s="16"/>
      <c r="D154" s="4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ht="16.5" customHeight="1">
      <c r="A155" s="16"/>
      <c r="B155" s="16"/>
      <c r="C155" s="16"/>
      <c r="D155" s="4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ht="16.5" customHeight="1">
      <c r="A156" s="16"/>
      <c r="B156" s="16"/>
      <c r="C156" s="16"/>
      <c r="D156" s="4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ht="16.5" customHeight="1">
      <c r="A157" s="16"/>
      <c r="B157" s="16"/>
      <c r="C157" s="16"/>
      <c r="D157" s="4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ht="16.5" customHeight="1">
      <c r="A158" s="16"/>
      <c r="B158" s="16"/>
      <c r="C158" s="16"/>
      <c r="D158" s="4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ht="16.5" customHeight="1">
      <c r="A159" s="16"/>
      <c r="B159" s="16"/>
      <c r="C159" s="16"/>
      <c r="D159" s="4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ht="16.5" customHeight="1">
      <c r="A160" s="16"/>
      <c r="B160" s="16"/>
      <c r="C160" s="16"/>
      <c r="D160" s="4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ht="16.5" customHeight="1">
      <c r="A161" s="16"/>
      <c r="B161" s="16"/>
      <c r="C161" s="16"/>
      <c r="D161" s="4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ht="16.5" customHeight="1">
      <c r="A162" s="16"/>
      <c r="B162" s="16"/>
      <c r="C162" s="16"/>
      <c r="D162" s="4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ht="16.5" customHeight="1">
      <c r="A163" s="16"/>
      <c r="B163" s="16"/>
      <c r="C163" s="16"/>
      <c r="D163" s="4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ht="16.5" customHeight="1">
      <c r="A164" s="16"/>
      <c r="B164" s="16"/>
      <c r="C164" s="16"/>
      <c r="D164" s="4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ht="16.5" customHeight="1">
      <c r="A165" s="16"/>
      <c r="B165" s="16"/>
      <c r="C165" s="16"/>
      <c r="D165" s="4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ht="16.5" customHeight="1">
      <c r="A166" s="16"/>
      <c r="B166" s="16"/>
      <c r="C166" s="16"/>
      <c r="D166" s="4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ht="16.5" customHeight="1">
      <c r="A167" s="16"/>
      <c r="B167" s="16"/>
      <c r="C167" s="16"/>
      <c r="D167" s="4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ht="16.5" customHeight="1">
      <c r="A168" s="16"/>
      <c r="B168" s="16"/>
      <c r="C168" s="16"/>
      <c r="D168" s="4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ht="16.5" customHeight="1">
      <c r="A169" s="16"/>
      <c r="B169" s="16"/>
      <c r="C169" s="16"/>
      <c r="D169" s="4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ht="16.5" customHeight="1">
      <c r="A170" s="16"/>
      <c r="B170" s="16"/>
      <c r="C170" s="16"/>
      <c r="D170" s="4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ht="16.5" customHeight="1">
      <c r="A171" s="16"/>
      <c r="B171" s="16"/>
      <c r="C171" s="16"/>
      <c r="D171" s="4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ht="16.5" customHeight="1">
      <c r="A172" s="16"/>
      <c r="B172" s="16"/>
      <c r="C172" s="16"/>
      <c r="D172" s="4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ht="16.5" customHeight="1">
      <c r="A173" s="16"/>
      <c r="B173" s="16"/>
      <c r="C173" s="16"/>
      <c r="D173" s="4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ht="16.5" customHeight="1">
      <c r="A174" s="16"/>
      <c r="B174" s="16"/>
      <c r="C174" s="16"/>
      <c r="D174" s="4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ht="16.5" customHeight="1">
      <c r="A175" s="16"/>
      <c r="B175" s="16"/>
      <c r="C175" s="16"/>
      <c r="D175" s="4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ht="16.5" customHeight="1">
      <c r="A176" s="16"/>
      <c r="B176" s="16"/>
      <c r="C176" s="16"/>
      <c r="D176" s="4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ht="16.5" customHeight="1">
      <c r="A177" s="16"/>
      <c r="B177" s="16"/>
      <c r="C177" s="16"/>
      <c r="D177" s="4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ht="16.5" customHeight="1">
      <c r="A178" s="16"/>
      <c r="B178" s="16"/>
      <c r="C178" s="16"/>
      <c r="D178" s="4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ht="16.5" customHeight="1">
      <c r="A179" s="16"/>
      <c r="B179" s="16"/>
      <c r="C179" s="16"/>
      <c r="D179" s="4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ht="16.5" customHeight="1">
      <c r="A180" s="16"/>
      <c r="B180" s="16"/>
      <c r="C180" s="16"/>
      <c r="D180" s="4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ht="16.5" customHeight="1">
      <c r="A181" s="16"/>
      <c r="B181" s="16"/>
      <c r="C181" s="16"/>
      <c r="D181" s="4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ht="16.5" customHeight="1">
      <c r="A182" s="16"/>
      <c r="B182" s="16"/>
      <c r="C182" s="16"/>
      <c r="D182" s="4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ht="16.5" customHeight="1">
      <c r="A183" s="16"/>
      <c r="B183" s="16"/>
      <c r="C183" s="16"/>
      <c r="D183" s="4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ht="16.5" customHeight="1">
      <c r="A184" s="16"/>
      <c r="B184" s="16"/>
      <c r="C184" s="16"/>
      <c r="D184" s="4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ht="16.5" customHeight="1">
      <c r="A185" s="16"/>
      <c r="B185" s="16"/>
      <c r="C185" s="16"/>
      <c r="D185" s="4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ht="16.5" customHeight="1">
      <c r="A186" s="16"/>
      <c r="B186" s="16"/>
      <c r="C186" s="16"/>
      <c r="D186" s="4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ht="16.5" customHeight="1">
      <c r="A187" s="16"/>
      <c r="B187" s="16"/>
      <c r="C187" s="16"/>
      <c r="D187" s="4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ht="16.5" customHeight="1">
      <c r="A188" s="16"/>
      <c r="B188" s="16"/>
      <c r="C188" s="16"/>
      <c r="D188" s="4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ht="16.5" customHeight="1">
      <c r="A189" s="16"/>
      <c r="B189" s="16"/>
      <c r="C189" s="16"/>
      <c r="D189" s="4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ht="16.5" customHeight="1">
      <c r="A190" s="16"/>
      <c r="B190" s="16"/>
      <c r="C190" s="16"/>
      <c r="D190" s="4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ht="16.5" customHeight="1">
      <c r="A191" s="16"/>
      <c r="B191" s="16"/>
      <c r="C191" s="16"/>
      <c r="D191" s="4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ht="16.5" customHeight="1">
      <c r="A192" s="16"/>
      <c r="B192" s="16"/>
      <c r="C192" s="16"/>
      <c r="D192" s="4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ht="16.5" customHeight="1">
      <c r="A193" s="16"/>
      <c r="B193" s="16"/>
      <c r="C193" s="16"/>
      <c r="D193" s="4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  <row r="194" ht="16.5" customHeight="1">
      <c r="A194" s="16"/>
      <c r="B194" s="16"/>
      <c r="C194" s="16"/>
      <c r="D194" s="4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</row>
    <row r="195" ht="16.5" customHeight="1">
      <c r="A195" s="16"/>
      <c r="B195" s="16"/>
      <c r="C195" s="16"/>
      <c r="D195" s="49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</row>
    <row r="196" ht="16.5" customHeight="1">
      <c r="A196" s="16"/>
      <c r="B196" s="16"/>
      <c r="C196" s="16"/>
      <c r="D196" s="49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</row>
    <row r="197" ht="16.5" customHeight="1">
      <c r="A197" s="16"/>
      <c r="B197" s="16"/>
      <c r="C197" s="16"/>
      <c r="D197" s="49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</row>
    <row r="198" ht="16.5" customHeight="1">
      <c r="A198" s="16"/>
      <c r="B198" s="16"/>
      <c r="C198" s="16"/>
      <c r="D198" s="49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</row>
  </sheetData>
  <mergeCells count="12">
    <mergeCell ref="A1:F1"/>
    <mergeCell ref="A11:F11"/>
    <mergeCell ref="B13:C13"/>
    <mergeCell ref="A3:F3"/>
    <mergeCell ref="B5:D5"/>
    <mergeCell ref="B2:C2"/>
    <mergeCell ref="D2:E2"/>
    <mergeCell ref="B14:C14"/>
    <mergeCell ref="B15:C15"/>
    <mergeCell ref="B16:C16"/>
    <mergeCell ref="A13:A16"/>
    <mergeCell ref="B12:C1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7.02734375" customWidth="1"/>
    <col min="2" max="2" width="22.3740234375" customWidth="1"/>
    <col min="3" max="3" width="24.6796875" customWidth="1"/>
    <col min="4" max="4" width="32.736328125" customWidth="1" style="14"/>
    <col min="5" max="5" width="30.3603515625"/>
    <col min="6" max="6" width="34.388671875" customWidth="1"/>
  </cols>
  <sheetData>
    <row r="1" ht="26.25" customHeight="1">
      <c r="A1" s="76" t="s">
        <v>0</v>
      </c>
      <c r="B1" s="71"/>
      <c r="C1" s="71"/>
      <c r="D1" s="71"/>
      <c r="E1" s="71"/>
      <c r="F1" s="86"/>
      <c r="G1" s="2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ht="17.25" customHeight="1">
      <c r="A2" s="93"/>
      <c r="B2" s="94" t="s">
        <v>148</v>
      </c>
      <c r="C2" s="95"/>
      <c r="D2" s="94" t="s">
        <v>82</v>
      </c>
      <c r="E2" s="95"/>
      <c r="F2" s="96"/>
      <c r="G2" s="2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ht="27.75" customHeight="1">
      <c r="A3" s="97" t="s">
        <v>3</v>
      </c>
      <c r="B3" s="98"/>
      <c r="C3" s="98"/>
      <c r="D3" s="98"/>
      <c r="E3" s="98"/>
      <c r="F3" s="99"/>
      <c r="G3" s="20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ht="27.75" customHeight="1">
      <c r="A4" s="77" t="s">
        <v>5</v>
      </c>
      <c r="B4" s="39" t="s">
        <v>6</v>
      </c>
      <c r="C4" s="39" t="s">
        <v>7</v>
      </c>
      <c r="D4" s="39" t="s">
        <v>8</v>
      </c>
      <c r="E4" s="39" t="s">
        <v>9</v>
      </c>
      <c r="F4" s="87" t="s">
        <v>10</v>
      </c>
      <c r="G4" s="20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ht="27.75" customHeight="1">
      <c r="A5" s="78" t="s">
        <v>11</v>
      </c>
      <c r="B5" s="8" t="n">
        <v>48508</v>
      </c>
      <c r="C5" s="6"/>
      <c r="D5" s="6"/>
      <c r="E5" s="10" t="s">
        <v>149</v>
      </c>
      <c r="F5" s="28" t="s">
        <v>150</v>
      </c>
      <c r="G5" s="20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27.75" customHeight="1">
      <c r="A6" s="79" t="s">
        <v>12</v>
      </c>
      <c r="B6" s="31" t="n">
        <v>4931</v>
      </c>
      <c r="C6" s="31" t="n">
        <v>4122</v>
      </c>
      <c r="D6" s="31" t="n">
        <f>SUM(B6,C6)</f>
        <v>9053</v>
      </c>
      <c r="E6" s="10" t="s">
        <v>151</v>
      </c>
      <c r="F6" s="89"/>
      <c r="G6" s="20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ht="27.75" customHeight="1">
      <c r="A7" s="80" t="s">
        <v>13</v>
      </c>
      <c r="B7" s="9" t="n">
        <v>0.0917</v>
      </c>
      <c r="C7" s="9" t="n">
        <f>C6/B5*100%</f>
        <v>0.0849756741156098</v>
      </c>
      <c r="D7" s="17" t="n">
        <f>D6/B5*100%</f>
        <v>0.186629009647893</v>
      </c>
      <c r="E7" s="10" t="s">
        <v>152</v>
      </c>
      <c r="F7" s="90"/>
      <c r="G7" s="2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ht="27.75" customHeight="1">
      <c r="A8" s="81" t="s">
        <v>15</v>
      </c>
      <c r="B8" s="15" t="n">
        <f>B9/B6</f>
        <v>14.9305779760698</v>
      </c>
      <c r="C8" s="15" t="n">
        <f>C9/C6</f>
        <v>16.6257641921397</v>
      </c>
      <c r="D8" s="15" t="n">
        <f>D9/D6</f>
        <v>15.7024279244449</v>
      </c>
      <c r="E8" s="24" t="s">
        <v>153</v>
      </c>
      <c r="F8" s="22"/>
      <c r="G8" s="2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ht="27.75" customHeight="1">
      <c r="A9" s="100" t="s">
        <v>16</v>
      </c>
      <c r="B9" s="74" t="n">
        <v>73622.68</v>
      </c>
      <c r="C9" s="74" t="n">
        <v>68531.4</v>
      </c>
      <c r="D9" s="74" t="n">
        <f>SUM(B9,C9)</f>
        <v>142154.08</v>
      </c>
      <c r="E9" s="25" t="s">
        <v>154</v>
      </c>
      <c r="F9" s="21"/>
      <c r="G9" s="2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ht="27.75" customHeight="1">
      <c r="A10" s="101"/>
      <c r="B10" s="102"/>
      <c r="C10" s="102"/>
      <c r="D10" s="102"/>
      <c r="E10" s="102"/>
      <c r="F10" s="103"/>
      <c r="G10" s="2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27.75" customHeight="1">
      <c r="A11" s="97" t="s">
        <v>18</v>
      </c>
      <c r="B11" s="104"/>
      <c r="C11" s="104"/>
      <c r="D11" s="104"/>
      <c r="E11" s="104"/>
      <c r="F11" s="105"/>
      <c r="G11" s="2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ht="27.75" customHeight="1">
      <c r="A12" s="82" t="s">
        <v>19</v>
      </c>
      <c r="B12" s="37" t="s">
        <v>88</v>
      </c>
      <c r="C12" s="38"/>
      <c r="D12" s="39" t="s">
        <v>21</v>
      </c>
      <c r="E12" s="39" t="s">
        <v>22</v>
      </c>
      <c r="F12" s="87" t="s">
        <v>10</v>
      </c>
      <c r="G12" s="20"/>
      <c r="H12" s="20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ht="61.916666666666664" customHeight="1">
      <c r="A13" s="83" t="s">
        <v>89</v>
      </c>
      <c r="B13" s="113" t="s">
        <v>90</v>
      </c>
      <c r="C13" s="69"/>
      <c r="D13" s="29" t="s">
        <v>142</v>
      </c>
      <c r="E13" s="44"/>
      <c r="F13" s="91"/>
      <c r="G13" s="20"/>
      <c r="H13" s="20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45.75" customHeight="1">
      <c r="A14" s="84"/>
      <c r="B14" s="70" t="s">
        <v>99</v>
      </c>
      <c r="C14" s="69"/>
      <c r="D14" s="33" t="s">
        <v>100</v>
      </c>
      <c r="E14" s="33" t="s">
        <v>143</v>
      </c>
      <c r="F14" s="11" t="s">
        <v>144</v>
      </c>
      <c r="G14" s="20"/>
      <c r="H14" s="20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ht="30.75" customHeight="1">
      <c r="A15" s="84"/>
      <c r="B15" s="70" t="s">
        <v>102</v>
      </c>
      <c r="C15" s="69"/>
      <c r="D15" s="33" t="s">
        <v>103</v>
      </c>
      <c r="E15" s="5" t="s">
        <v>145</v>
      </c>
      <c r="F15" s="11" t="s">
        <v>146</v>
      </c>
      <c r="G15" s="20"/>
      <c r="H15" s="20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ht="27.75" customHeight="1">
      <c r="A16" s="85"/>
      <c r="B16" s="72" t="s">
        <v>106</v>
      </c>
      <c r="C16" s="73"/>
      <c r="D16" s="74" t="s">
        <v>155</v>
      </c>
      <c r="E16" s="75"/>
      <c r="F16" s="92"/>
      <c r="G16" s="20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ht="16.5" customHeight="1">
      <c r="A17" s="34"/>
      <c r="B17" s="34"/>
      <c r="C17" s="34"/>
      <c r="D17" s="34"/>
      <c r="E17" s="34"/>
      <c r="F17" s="3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ht="63.99999999999998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ht="16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ht="16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ht="16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ht="16.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ht="16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ht="16.5" customHeight="1">
      <c r="A24" s="16"/>
      <c r="B24" s="16"/>
      <c r="C24" s="16"/>
      <c r="D24" s="4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ht="16.5" customHeight="1">
      <c r="A25" s="16"/>
      <c r="B25" s="16"/>
      <c r="C25" s="16"/>
      <c r="D25" s="4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ht="16.5" customHeight="1">
      <c r="A26" s="16"/>
      <c r="B26" s="16"/>
      <c r="C26" s="16"/>
      <c r="D26" s="4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ht="16.5" customHeight="1">
      <c r="A27" s="16"/>
      <c r="B27" s="16"/>
      <c r="C27" s="16"/>
      <c r="D27" s="4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ht="16.5" customHeight="1">
      <c r="A28" s="16"/>
      <c r="B28" s="16"/>
      <c r="C28" s="16"/>
      <c r="D28" s="4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ht="16.5" customHeight="1">
      <c r="A29" s="16"/>
      <c r="B29" s="16"/>
      <c r="C29" s="16"/>
      <c r="D29" s="4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ht="16.5" customHeight="1">
      <c r="A30" s="16"/>
      <c r="B30" s="16"/>
      <c r="C30" s="16"/>
      <c r="D30" s="4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ht="16.5" customHeight="1">
      <c r="A31" s="16"/>
      <c r="B31" s="16"/>
      <c r="C31" s="16"/>
      <c r="D31" s="4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ht="16.5" customHeight="1">
      <c r="A32" s="16"/>
      <c r="B32" s="16"/>
      <c r="C32" s="16"/>
      <c r="D32" s="4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ht="16.5" customHeight="1">
      <c r="A33" s="16"/>
      <c r="B33" s="16"/>
      <c r="C33" s="16"/>
      <c r="D33" s="4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ht="16.5" customHeight="1">
      <c r="A34" s="16"/>
      <c r="B34" s="16"/>
      <c r="C34" s="16"/>
      <c r="D34" s="4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ht="16.5" customHeight="1">
      <c r="A35" s="16"/>
      <c r="B35" s="16"/>
      <c r="C35" s="16"/>
      <c r="D35" s="4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ht="16.5" customHeight="1">
      <c r="A36" s="16"/>
      <c r="B36" s="16"/>
      <c r="C36" s="16"/>
      <c r="D36" s="4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ht="16.5" customHeight="1">
      <c r="A37" s="16"/>
      <c r="B37" s="16"/>
      <c r="C37" s="16"/>
      <c r="D37" s="4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ht="16.5" customHeight="1">
      <c r="A38" s="16"/>
      <c r="B38" s="16"/>
      <c r="C38" s="16"/>
      <c r="D38" s="4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ht="16.5" customHeight="1">
      <c r="A39" s="16"/>
      <c r="B39" s="16"/>
      <c r="C39" s="16"/>
      <c r="D39" s="4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ht="16.5" customHeight="1">
      <c r="A40" s="16"/>
      <c r="B40" s="16"/>
      <c r="C40" s="16"/>
      <c r="D40" s="4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ht="16.5" customHeight="1">
      <c r="A41" s="16"/>
      <c r="B41" s="16"/>
      <c r="C41" s="16"/>
      <c r="D41" s="4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ht="16.5" customHeight="1">
      <c r="A42" s="16"/>
      <c r="B42" s="16"/>
      <c r="C42" s="16"/>
      <c r="D42" s="4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ht="16.5" customHeight="1">
      <c r="A43" s="16"/>
      <c r="B43" s="16"/>
      <c r="C43" s="16"/>
      <c r="D43" s="4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ht="16.5" customHeight="1">
      <c r="A44" s="16"/>
      <c r="B44" s="16"/>
      <c r="C44" s="16"/>
      <c r="D44" s="4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ht="16.5" customHeight="1">
      <c r="A45" s="16"/>
      <c r="B45" s="16"/>
      <c r="C45" s="16"/>
      <c r="D45" s="4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ht="16.5" customHeight="1">
      <c r="A46" s="16"/>
      <c r="B46" s="16"/>
      <c r="C46" s="16"/>
      <c r="D46" s="4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ht="16.5" customHeight="1">
      <c r="A47" s="16"/>
      <c r="B47" s="16"/>
      <c r="C47" s="16"/>
      <c r="D47" s="4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ht="16.5" customHeight="1">
      <c r="A48" s="16"/>
      <c r="B48" s="16"/>
      <c r="C48" s="16"/>
      <c r="D48" s="4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ht="16.5" customHeight="1">
      <c r="A49" s="16"/>
      <c r="B49" s="16"/>
      <c r="C49" s="16"/>
      <c r="D49" s="4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ht="16.5" customHeight="1">
      <c r="A50" s="16"/>
      <c r="B50" s="16"/>
      <c r="C50" s="16"/>
      <c r="D50" s="4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ht="16.5" customHeight="1">
      <c r="A51" s="16"/>
      <c r="B51" s="16"/>
      <c r="C51" s="16"/>
      <c r="D51" s="4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ht="16.5" customHeight="1">
      <c r="A52" s="16"/>
      <c r="B52" s="16"/>
      <c r="C52" s="16"/>
      <c r="D52" s="4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ht="16.5" customHeight="1">
      <c r="A53" s="16"/>
      <c r="B53" s="16"/>
      <c r="C53" s="16"/>
      <c r="D53" s="4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ht="16.5" customHeight="1">
      <c r="A54" s="16"/>
      <c r="B54" s="16"/>
      <c r="C54" s="16"/>
      <c r="D54" s="4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ht="16.5" customHeight="1">
      <c r="A55" s="16"/>
      <c r="B55" s="16"/>
      <c r="C55" s="16"/>
      <c r="D55" s="4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ht="16.5" customHeight="1">
      <c r="A56" s="16"/>
      <c r="B56" s="16"/>
      <c r="C56" s="16"/>
      <c r="D56" s="4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ht="16.5" customHeight="1">
      <c r="A57" s="16"/>
      <c r="B57" s="16"/>
      <c r="C57" s="16"/>
      <c r="D57" s="4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ht="16.5" customHeight="1">
      <c r="A58" s="16"/>
      <c r="B58" s="16"/>
      <c r="C58" s="16"/>
      <c r="D58" s="4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ht="16.5" customHeight="1">
      <c r="A59" s="16"/>
      <c r="B59" s="16"/>
      <c r="C59" s="16"/>
      <c r="D59" s="4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ht="16.5" customHeight="1">
      <c r="A60" s="16"/>
      <c r="B60" s="16"/>
      <c r="C60" s="16"/>
      <c r="D60" s="4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ht="16.5" customHeight="1">
      <c r="A61" s="16"/>
      <c r="B61" s="16"/>
      <c r="C61" s="16"/>
      <c r="D61" s="4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ht="16.5" customHeight="1">
      <c r="A62" s="16"/>
      <c r="B62" s="16"/>
      <c r="C62" s="16"/>
      <c r="D62" s="4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ht="16.5" customHeight="1">
      <c r="A63" s="16"/>
      <c r="B63" s="16"/>
      <c r="C63" s="16"/>
      <c r="D63" s="4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ht="16.5" customHeight="1">
      <c r="A64" s="16"/>
      <c r="B64" s="16"/>
      <c r="C64" s="16"/>
      <c r="D64" s="4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ht="16.5" customHeight="1">
      <c r="A65" s="16"/>
      <c r="B65" s="16"/>
      <c r="C65" s="16"/>
      <c r="D65" s="4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ht="16.5" customHeight="1">
      <c r="A66" s="16"/>
      <c r="B66" s="16"/>
      <c r="C66" s="16"/>
      <c r="D66" s="4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ht="16.5" customHeight="1">
      <c r="A67" s="16"/>
      <c r="B67" s="16"/>
      <c r="C67" s="16"/>
      <c r="D67" s="4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ht="16.5" customHeight="1">
      <c r="A68" s="16"/>
      <c r="B68" s="16"/>
      <c r="C68" s="16"/>
      <c r="D68" s="4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ht="16.5" customHeight="1">
      <c r="A69" s="16"/>
      <c r="B69" s="16"/>
      <c r="C69" s="16"/>
      <c r="D69" s="4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ht="16.5" customHeight="1">
      <c r="A70" s="16"/>
      <c r="B70" s="16"/>
      <c r="C70" s="16"/>
      <c r="D70" s="4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ht="16.5" customHeight="1">
      <c r="A71" s="16"/>
      <c r="B71" s="16"/>
      <c r="C71" s="16"/>
      <c r="D71" s="4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ht="16.5" customHeight="1">
      <c r="A72" s="16"/>
      <c r="B72" s="16"/>
      <c r="C72" s="16"/>
      <c r="D72" s="4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ht="16.5" customHeight="1">
      <c r="A73" s="16"/>
      <c r="B73" s="16"/>
      <c r="C73" s="16"/>
      <c r="D73" s="4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ht="16.5" customHeight="1">
      <c r="A74" s="16"/>
      <c r="B74" s="16"/>
      <c r="C74" s="16"/>
      <c r="D74" s="4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ht="16.5" customHeight="1">
      <c r="A75" s="16"/>
      <c r="B75" s="16"/>
      <c r="C75" s="16"/>
      <c r="D75" s="4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ht="16.5" customHeight="1">
      <c r="A76" s="16"/>
      <c r="B76" s="16"/>
      <c r="C76" s="16"/>
      <c r="D76" s="4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ht="16.5" customHeight="1">
      <c r="A77" s="16"/>
      <c r="B77" s="16"/>
      <c r="C77" s="16"/>
      <c r="D77" s="4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ht="16.5" customHeight="1">
      <c r="A78" s="16"/>
      <c r="B78" s="16"/>
      <c r="C78" s="16"/>
      <c r="D78" s="4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ht="16.5" customHeight="1">
      <c r="A79" s="16"/>
      <c r="B79" s="16"/>
      <c r="C79" s="16"/>
      <c r="D79" s="4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ht="16.5" customHeight="1">
      <c r="A80" s="16"/>
      <c r="B80" s="16"/>
      <c r="C80" s="16"/>
      <c r="D80" s="4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ht="16.5" customHeight="1">
      <c r="A81" s="16"/>
      <c r="B81" s="16"/>
      <c r="C81" s="16"/>
      <c r="D81" s="4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ht="16.5" customHeight="1">
      <c r="A82" s="16"/>
      <c r="B82" s="16"/>
      <c r="C82" s="16"/>
      <c r="D82" s="4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ht="16.5" customHeight="1">
      <c r="A83" s="16"/>
      <c r="B83" s="16"/>
      <c r="C83" s="16"/>
      <c r="D83" s="4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ht="16.5" customHeight="1">
      <c r="A84" s="16"/>
      <c r="B84" s="16"/>
      <c r="C84" s="16"/>
      <c r="D84" s="4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ht="16.5" customHeight="1">
      <c r="A85" s="16"/>
      <c r="B85" s="16"/>
      <c r="C85" s="16"/>
      <c r="D85" s="4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ht="16.5" customHeight="1">
      <c r="A86" s="16"/>
      <c r="B86" s="16"/>
      <c r="C86" s="16"/>
      <c r="D86" s="4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ht="16.5" customHeight="1">
      <c r="A87" s="16"/>
      <c r="B87" s="16"/>
      <c r="C87" s="16"/>
      <c r="D87" s="4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ht="16.5" customHeight="1">
      <c r="A88" s="16"/>
      <c r="B88" s="16"/>
      <c r="C88" s="16"/>
      <c r="D88" s="4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ht="16.5" customHeight="1">
      <c r="A89" s="16"/>
      <c r="B89" s="16"/>
      <c r="C89" s="16"/>
      <c r="D89" s="4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ht="16.5" customHeight="1">
      <c r="A90" s="16"/>
      <c r="B90" s="16"/>
      <c r="C90" s="16"/>
      <c r="D90" s="4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ht="16.5" customHeight="1">
      <c r="A91" s="16"/>
      <c r="B91" s="16"/>
      <c r="C91" s="16"/>
      <c r="D91" s="4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ht="16.5" customHeight="1">
      <c r="A92" s="16"/>
      <c r="B92" s="16"/>
      <c r="C92" s="16"/>
      <c r="D92" s="4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ht="16.5" customHeight="1">
      <c r="A93" s="16"/>
      <c r="B93" s="16"/>
      <c r="C93" s="16"/>
      <c r="D93" s="4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ht="16.5" customHeight="1">
      <c r="A94" s="16"/>
      <c r="B94" s="16"/>
      <c r="C94" s="16"/>
      <c r="D94" s="4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ht="16.5" customHeight="1">
      <c r="A95" s="16"/>
      <c r="B95" s="16"/>
      <c r="C95" s="16"/>
      <c r="D95" s="4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ht="16.5" customHeight="1">
      <c r="A96" s="16"/>
      <c r="B96" s="16"/>
      <c r="C96" s="16"/>
      <c r="D96" s="4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ht="16.5" customHeight="1">
      <c r="A97" s="16"/>
      <c r="B97" s="16"/>
      <c r="C97" s="16"/>
      <c r="D97" s="4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ht="16.5" customHeight="1">
      <c r="A98" s="16"/>
      <c r="B98" s="16"/>
      <c r="C98" s="16"/>
      <c r="D98" s="4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ht="16.5" customHeight="1">
      <c r="A99" s="16"/>
      <c r="B99" s="16"/>
      <c r="C99" s="16"/>
      <c r="D99" s="4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ht="16.5" customHeight="1">
      <c r="A100" s="16"/>
      <c r="B100" s="16"/>
      <c r="C100" s="16"/>
      <c r="D100" s="4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ht="16.5" customHeight="1">
      <c r="A101" s="16"/>
      <c r="B101" s="16"/>
      <c r="C101" s="16"/>
      <c r="D101" s="4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ht="16.5" customHeight="1">
      <c r="A102" s="16"/>
      <c r="B102" s="16"/>
      <c r="C102" s="16"/>
      <c r="D102" s="4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ht="16.5" customHeight="1">
      <c r="A103" s="16"/>
      <c r="B103" s="16"/>
      <c r="C103" s="16"/>
      <c r="D103" s="4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ht="16.5" customHeight="1">
      <c r="A104" s="16"/>
      <c r="B104" s="16"/>
      <c r="C104" s="16"/>
      <c r="D104" s="4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ht="16.5" customHeight="1">
      <c r="A105" s="16"/>
      <c r="B105" s="16"/>
      <c r="C105" s="16"/>
      <c r="D105" s="4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ht="16.5" customHeight="1">
      <c r="A106" s="16"/>
      <c r="B106" s="16"/>
      <c r="C106" s="16"/>
      <c r="D106" s="4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ht="16.5" customHeight="1">
      <c r="A107" s="16"/>
      <c r="B107" s="16"/>
      <c r="C107" s="16"/>
      <c r="D107" s="4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ht="16.5" customHeight="1">
      <c r="A108" s="16"/>
      <c r="B108" s="16"/>
      <c r="C108" s="16"/>
      <c r="D108" s="4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ht="16.5" customHeight="1">
      <c r="A109" s="16"/>
      <c r="B109" s="16"/>
      <c r="C109" s="16"/>
      <c r="D109" s="4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ht="16.5" customHeight="1">
      <c r="A110" s="16"/>
      <c r="B110" s="16"/>
      <c r="C110" s="16"/>
      <c r="D110" s="4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ht="16.5" customHeight="1">
      <c r="A111" s="16"/>
      <c r="B111" s="16"/>
      <c r="C111" s="16"/>
      <c r="D111" s="4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ht="16.5" customHeight="1">
      <c r="A112" s="16"/>
      <c r="B112" s="16"/>
      <c r="C112" s="16"/>
      <c r="D112" s="4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ht="16.5" customHeight="1">
      <c r="A113" s="16"/>
      <c r="B113" s="16"/>
      <c r="C113" s="16"/>
      <c r="D113" s="4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ht="16.5" customHeight="1">
      <c r="A114" s="16"/>
      <c r="B114" s="16"/>
      <c r="C114" s="16"/>
      <c r="D114" s="4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ht="16.5" customHeight="1">
      <c r="A115" s="16"/>
      <c r="B115" s="16"/>
      <c r="C115" s="16"/>
      <c r="D115" s="4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ht="16.5" customHeight="1">
      <c r="A116" s="16"/>
      <c r="B116" s="16"/>
      <c r="C116" s="16"/>
      <c r="D116" s="4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ht="16.5" customHeight="1">
      <c r="A117" s="16"/>
      <c r="B117" s="16"/>
      <c r="C117" s="16"/>
      <c r="D117" s="4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ht="16.5" customHeight="1">
      <c r="A118" s="16"/>
      <c r="B118" s="16"/>
      <c r="C118" s="16"/>
      <c r="D118" s="4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ht="16.5" customHeight="1">
      <c r="A119" s="16"/>
      <c r="B119" s="16"/>
      <c r="C119" s="16"/>
      <c r="D119" s="4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ht="16.5" customHeight="1">
      <c r="A120" s="16"/>
      <c r="B120" s="16"/>
      <c r="C120" s="16"/>
      <c r="D120" s="4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ht="16.5" customHeight="1">
      <c r="A121" s="16"/>
      <c r="B121" s="16"/>
      <c r="C121" s="16"/>
      <c r="D121" s="4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ht="16.5" customHeight="1">
      <c r="A122" s="16"/>
      <c r="B122" s="16"/>
      <c r="C122" s="16"/>
      <c r="D122" s="4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ht="16.5" customHeight="1">
      <c r="A123" s="16"/>
      <c r="B123" s="16"/>
      <c r="C123" s="16"/>
      <c r="D123" s="4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ht="16.5" customHeight="1">
      <c r="A124" s="16"/>
      <c r="B124" s="16"/>
      <c r="C124" s="16"/>
      <c r="D124" s="4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ht="16.5" customHeight="1">
      <c r="A125" s="16"/>
      <c r="B125" s="16"/>
      <c r="C125" s="16"/>
      <c r="D125" s="4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ht="16.5" customHeight="1">
      <c r="A126" s="16"/>
      <c r="B126" s="16"/>
      <c r="C126" s="16"/>
      <c r="D126" s="4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ht="16.5" customHeight="1">
      <c r="A127" s="16"/>
      <c r="B127" s="16"/>
      <c r="C127" s="16"/>
      <c r="D127" s="4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ht="16.5" customHeight="1">
      <c r="A128" s="16"/>
      <c r="B128" s="16"/>
      <c r="C128" s="16"/>
      <c r="D128" s="4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ht="16.5" customHeight="1">
      <c r="A129" s="16"/>
      <c r="B129" s="16"/>
      <c r="C129" s="16"/>
      <c r="D129" s="4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ht="16.5" customHeight="1">
      <c r="A130" s="16"/>
      <c r="B130" s="16"/>
      <c r="C130" s="16"/>
      <c r="D130" s="4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ht="16.5" customHeight="1">
      <c r="A131" s="16"/>
      <c r="B131" s="16"/>
      <c r="C131" s="16"/>
      <c r="D131" s="4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ht="16.5" customHeight="1">
      <c r="A132" s="16"/>
      <c r="B132" s="16"/>
      <c r="C132" s="16"/>
      <c r="D132" s="4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ht="16.5" customHeight="1">
      <c r="A133" s="16"/>
      <c r="B133" s="16"/>
      <c r="C133" s="16"/>
      <c r="D133" s="4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ht="16.5" customHeight="1">
      <c r="A134" s="16"/>
      <c r="B134" s="16"/>
      <c r="C134" s="16"/>
      <c r="D134" s="4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ht="16.5" customHeight="1">
      <c r="A135" s="16"/>
      <c r="B135" s="16"/>
      <c r="C135" s="16"/>
      <c r="D135" s="4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ht="16.5" customHeight="1">
      <c r="A136" s="16"/>
      <c r="B136" s="16"/>
      <c r="C136" s="16"/>
      <c r="D136" s="4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ht="16.5" customHeight="1">
      <c r="A137" s="16"/>
      <c r="B137" s="16"/>
      <c r="C137" s="16"/>
      <c r="D137" s="4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ht="16.5" customHeight="1">
      <c r="A138" s="16"/>
      <c r="B138" s="16"/>
      <c r="C138" s="16"/>
      <c r="D138" s="4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ht="16.5" customHeight="1">
      <c r="A139" s="16"/>
      <c r="B139" s="16"/>
      <c r="C139" s="16"/>
      <c r="D139" s="4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ht="16.5" customHeight="1">
      <c r="A140" s="16"/>
      <c r="B140" s="16"/>
      <c r="C140" s="16"/>
      <c r="D140" s="4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ht="16.5" customHeight="1">
      <c r="A141" s="16"/>
      <c r="B141" s="16"/>
      <c r="C141" s="16"/>
      <c r="D141" s="4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ht="16.5" customHeight="1">
      <c r="A142" s="16"/>
      <c r="B142" s="16"/>
      <c r="C142" s="16"/>
      <c r="D142" s="4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ht="16.5" customHeight="1">
      <c r="A143" s="16"/>
      <c r="B143" s="16"/>
      <c r="C143" s="16"/>
      <c r="D143" s="4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ht="16.5" customHeight="1">
      <c r="A144" s="16"/>
      <c r="B144" s="16"/>
      <c r="C144" s="16"/>
      <c r="D144" s="4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ht="16.5" customHeight="1">
      <c r="A145" s="16"/>
      <c r="B145" s="16"/>
      <c r="C145" s="16"/>
      <c r="D145" s="4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ht="16.5" customHeight="1">
      <c r="A146" s="16"/>
      <c r="B146" s="16"/>
      <c r="C146" s="16"/>
      <c r="D146" s="4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ht="16.5" customHeight="1">
      <c r="A147" s="16"/>
      <c r="B147" s="16"/>
      <c r="C147" s="16"/>
      <c r="D147" s="4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ht="16.5" customHeight="1">
      <c r="A148" s="16"/>
      <c r="B148" s="16"/>
      <c r="C148" s="16"/>
      <c r="D148" s="4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ht="16.5" customHeight="1">
      <c r="A149" s="16"/>
      <c r="B149" s="16"/>
      <c r="C149" s="16"/>
      <c r="D149" s="4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ht="16.5" customHeight="1">
      <c r="A150" s="16"/>
      <c r="B150" s="16"/>
      <c r="C150" s="16"/>
      <c r="D150" s="4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ht="16.5" customHeight="1">
      <c r="A151" s="16"/>
      <c r="B151" s="16"/>
      <c r="C151" s="16"/>
      <c r="D151" s="4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ht="16.5" customHeight="1">
      <c r="A152" s="16"/>
      <c r="B152" s="16"/>
      <c r="C152" s="16"/>
      <c r="D152" s="4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ht="16.5" customHeight="1">
      <c r="A153" s="16"/>
      <c r="B153" s="16"/>
      <c r="C153" s="16"/>
      <c r="D153" s="4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ht="16.5" customHeight="1">
      <c r="A154" s="16"/>
      <c r="B154" s="16"/>
      <c r="C154" s="16"/>
      <c r="D154" s="4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ht="16.5" customHeight="1">
      <c r="A155" s="16"/>
      <c r="B155" s="16"/>
      <c r="C155" s="16"/>
      <c r="D155" s="4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ht="16.5" customHeight="1">
      <c r="A156" s="16"/>
      <c r="B156" s="16"/>
      <c r="C156" s="16"/>
      <c r="D156" s="4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ht="16.5" customHeight="1">
      <c r="A157" s="16"/>
      <c r="B157" s="16"/>
      <c r="C157" s="16"/>
      <c r="D157" s="4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ht="16.5" customHeight="1">
      <c r="A158" s="16"/>
      <c r="B158" s="16"/>
      <c r="C158" s="16"/>
      <c r="D158" s="4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ht="16.5" customHeight="1">
      <c r="A159" s="16"/>
      <c r="B159" s="16"/>
      <c r="C159" s="16"/>
      <c r="D159" s="4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ht="16.5" customHeight="1">
      <c r="A160" s="16"/>
      <c r="B160" s="16"/>
      <c r="C160" s="16"/>
      <c r="D160" s="4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ht="16.5" customHeight="1">
      <c r="A161" s="16"/>
      <c r="B161" s="16"/>
      <c r="C161" s="16"/>
      <c r="D161" s="4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ht="16.5" customHeight="1">
      <c r="A162" s="16"/>
      <c r="B162" s="16"/>
      <c r="C162" s="16"/>
      <c r="D162" s="4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ht="16.5" customHeight="1">
      <c r="A163" s="16"/>
      <c r="B163" s="16"/>
      <c r="C163" s="16"/>
      <c r="D163" s="4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ht="16.5" customHeight="1">
      <c r="A164" s="16"/>
      <c r="B164" s="16"/>
      <c r="C164" s="16"/>
      <c r="D164" s="4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ht="16.5" customHeight="1">
      <c r="A165" s="16"/>
      <c r="B165" s="16"/>
      <c r="C165" s="16"/>
      <c r="D165" s="4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ht="16.5" customHeight="1">
      <c r="A166" s="16"/>
      <c r="B166" s="16"/>
      <c r="C166" s="16"/>
      <c r="D166" s="4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ht="16.5" customHeight="1">
      <c r="A167" s="16"/>
      <c r="B167" s="16"/>
      <c r="C167" s="16"/>
      <c r="D167" s="4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ht="16.5" customHeight="1">
      <c r="A168" s="16"/>
      <c r="B168" s="16"/>
      <c r="C168" s="16"/>
      <c r="D168" s="4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ht="16.5" customHeight="1">
      <c r="A169" s="16"/>
      <c r="B169" s="16"/>
      <c r="C169" s="16"/>
      <c r="D169" s="4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ht="16.5" customHeight="1">
      <c r="A170" s="16"/>
      <c r="B170" s="16"/>
      <c r="C170" s="16"/>
      <c r="D170" s="4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ht="16.5" customHeight="1">
      <c r="A171" s="16"/>
      <c r="B171" s="16"/>
      <c r="C171" s="16"/>
      <c r="D171" s="4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ht="16.5" customHeight="1">
      <c r="A172" s="16"/>
      <c r="B172" s="16"/>
      <c r="C172" s="16"/>
      <c r="D172" s="4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ht="16.5" customHeight="1">
      <c r="A173" s="16"/>
      <c r="B173" s="16"/>
      <c r="C173" s="16"/>
      <c r="D173" s="4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ht="16.5" customHeight="1">
      <c r="A174" s="16"/>
      <c r="B174" s="16"/>
      <c r="C174" s="16"/>
      <c r="D174" s="4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ht="16.5" customHeight="1">
      <c r="A175" s="16"/>
      <c r="B175" s="16"/>
      <c r="C175" s="16"/>
      <c r="D175" s="4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ht="16.5" customHeight="1">
      <c r="A176" s="16"/>
      <c r="B176" s="16"/>
      <c r="C176" s="16"/>
      <c r="D176" s="4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ht="16.5" customHeight="1">
      <c r="A177" s="16"/>
      <c r="B177" s="16"/>
      <c r="C177" s="16"/>
      <c r="D177" s="4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ht="16.5" customHeight="1">
      <c r="A178" s="16"/>
      <c r="B178" s="16"/>
      <c r="C178" s="16"/>
      <c r="D178" s="4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ht="16.5" customHeight="1">
      <c r="A179" s="16"/>
      <c r="B179" s="16"/>
      <c r="C179" s="16"/>
      <c r="D179" s="4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ht="16.5" customHeight="1">
      <c r="A180" s="16"/>
      <c r="B180" s="16"/>
      <c r="C180" s="16"/>
      <c r="D180" s="4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ht="16.5" customHeight="1">
      <c r="A181" s="16"/>
      <c r="B181" s="16"/>
      <c r="C181" s="16"/>
      <c r="D181" s="4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ht="16.5" customHeight="1">
      <c r="A182" s="16"/>
      <c r="B182" s="16"/>
      <c r="C182" s="16"/>
      <c r="D182" s="4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ht="16.5" customHeight="1">
      <c r="A183" s="16"/>
      <c r="B183" s="16"/>
      <c r="C183" s="16"/>
      <c r="D183" s="4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ht="16.5" customHeight="1">
      <c r="A184" s="16"/>
      <c r="B184" s="16"/>
      <c r="C184" s="16"/>
      <c r="D184" s="4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ht="16.5" customHeight="1">
      <c r="A185" s="16"/>
      <c r="B185" s="16"/>
      <c r="C185" s="16"/>
      <c r="D185" s="4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ht="16.5" customHeight="1">
      <c r="A186" s="16"/>
      <c r="B186" s="16"/>
      <c r="C186" s="16"/>
      <c r="D186" s="4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ht="16.5" customHeight="1">
      <c r="A187" s="16"/>
      <c r="B187" s="16"/>
      <c r="C187" s="16"/>
      <c r="D187" s="4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ht="16.5" customHeight="1">
      <c r="A188" s="16"/>
      <c r="B188" s="16"/>
      <c r="C188" s="16"/>
      <c r="D188" s="4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ht="16.5" customHeight="1">
      <c r="A189" s="16"/>
      <c r="B189" s="16"/>
      <c r="C189" s="16"/>
      <c r="D189" s="4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ht="16.5" customHeight="1">
      <c r="A190" s="16"/>
      <c r="B190" s="16"/>
      <c r="C190" s="16"/>
      <c r="D190" s="4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ht="16.5" customHeight="1">
      <c r="A191" s="16"/>
      <c r="B191" s="16"/>
      <c r="C191" s="16"/>
      <c r="D191" s="4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ht="16.5" customHeight="1">
      <c r="A192" s="16"/>
      <c r="B192" s="16"/>
      <c r="C192" s="16"/>
      <c r="D192" s="4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ht="16.5" customHeight="1">
      <c r="A193" s="16"/>
      <c r="B193" s="16"/>
      <c r="C193" s="16"/>
      <c r="D193" s="4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  <row r="194" ht="16.5" customHeight="1">
      <c r="A194" s="16"/>
      <c r="B194" s="16"/>
      <c r="C194" s="16"/>
      <c r="D194" s="4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</row>
    <row r="195" ht="16.5" customHeight="1">
      <c r="A195" s="16"/>
      <c r="B195" s="16"/>
      <c r="C195" s="16"/>
      <c r="D195" s="49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</row>
    <row r="196" ht="16.5" customHeight="1">
      <c r="A196" s="16"/>
      <c r="B196" s="16"/>
      <c r="C196" s="16"/>
      <c r="D196" s="49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</row>
    <row r="197" ht="16.5" customHeight="1">
      <c r="A197" s="16"/>
      <c r="B197" s="16"/>
      <c r="C197" s="16"/>
      <c r="D197" s="49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</row>
    <row r="198" ht="16.5" customHeight="1">
      <c r="A198" s="16"/>
      <c r="B198" s="16"/>
      <c r="C198" s="16"/>
      <c r="D198" s="49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</row>
  </sheetData>
  <mergeCells count="12">
    <mergeCell ref="A11:F11"/>
    <mergeCell ref="B13:C13"/>
    <mergeCell ref="B2:C2"/>
    <mergeCell ref="D2:E2"/>
    <mergeCell ref="B14:C14"/>
    <mergeCell ref="B15:C15"/>
    <mergeCell ref="B16:C16"/>
    <mergeCell ref="A13:A16"/>
    <mergeCell ref="B12:C12"/>
    <mergeCell ref="A3:F3"/>
    <mergeCell ref="B5:D5"/>
    <mergeCell ref="A1:F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7.02734375" customWidth="1"/>
    <col min="2" max="2" width="22.3740234375" customWidth="1"/>
    <col min="3" max="3" width="24.6796875" customWidth="1"/>
    <col min="4" max="4" width="32.736328125" customWidth="1" style="14"/>
    <col min="5" max="5" width="30.3603515625"/>
    <col min="6" max="6" width="34.388671875" customWidth="1"/>
  </cols>
  <sheetData>
    <row r="1" ht="26.25" customHeight="1">
      <c r="A1" s="76" t="s">
        <v>0</v>
      </c>
      <c r="B1" s="71"/>
      <c r="C1" s="71"/>
      <c r="D1" s="71"/>
      <c r="E1" s="71"/>
      <c r="F1" s="86"/>
      <c r="G1" s="2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ht="17.25" customHeight="1">
      <c r="A2" s="93"/>
      <c r="B2" s="94" t="s">
        <v>156</v>
      </c>
      <c r="C2" s="95"/>
      <c r="D2" s="94" t="s">
        <v>82</v>
      </c>
      <c r="E2" s="95"/>
      <c r="F2" s="96"/>
      <c r="G2" s="2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ht="27.75" customHeight="1">
      <c r="A3" s="97" t="s">
        <v>3</v>
      </c>
      <c r="B3" s="98"/>
      <c r="C3" s="98"/>
      <c r="D3" s="98"/>
      <c r="E3" s="98"/>
      <c r="F3" s="99"/>
      <c r="G3" s="20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ht="27.75" customHeight="1">
      <c r="A4" s="77" t="s">
        <v>5</v>
      </c>
      <c r="B4" s="39" t="s">
        <v>6</v>
      </c>
      <c r="C4" s="39" t="s">
        <v>7</v>
      </c>
      <c r="D4" s="39" t="s">
        <v>8</v>
      </c>
      <c r="E4" s="39" t="s">
        <v>9</v>
      </c>
      <c r="F4" s="87" t="s">
        <v>10</v>
      </c>
      <c r="G4" s="20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ht="27.75" customHeight="1">
      <c r="A5" s="78" t="s">
        <v>11</v>
      </c>
      <c r="B5" s="8" t="n">
        <v>55022</v>
      </c>
      <c r="C5" s="6"/>
      <c r="D5" s="6"/>
      <c r="E5" s="24" t="s">
        <v>157</v>
      </c>
      <c r="F5" s="88" t="s">
        <v>158</v>
      </c>
      <c r="G5" s="20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27.75" customHeight="1">
      <c r="A6" s="79" t="s">
        <v>12</v>
      </c>
      <c r="B6" s="31" t="n">
        <v>6562</v>
      </c>
      <c r="C6" s="31" t="n">
        <v>4395</v>
      </c>
      <c r="D6" s="31" t="n">
        <f>SUM(B6,C6)</f>
        <v>10957</v>
      </c>
      <c r="E6" s="24" t="s">
        <v>159</v>
      </c>
      <c r="F6" s="89"/>
      <c r="G6" s="20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ht="27.75" customHeight="1">
      <c r="A7" s="80" t="s">
        <v>13</v>
      </c>
      <c r="B7" s="9" t="n">
        <v>0.1193</v>
      </c>
      <c r="C7" s="9" t="n">
        <v>0.0799</v>
      </c>
      <c r="D7" s="17" t="n">
        <f>D6/B5*100%</f>
        <v>0.199138526407619</v>
      </c>
      <c r="E7" s="24" t="s">
        <v>160</v>
      </c>
      <c r="F7" s="90" t="s">
        <v>161</v>
      </c>
      <c r="G7" s="2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ht="27.75" customHeight="1">
      <c r="A8" s="81" t="s">
        <v>15</v>
      </c>
      <c r="B8" s="15" t="n">
        <f>B9/B6</f>
        <v>14.2021914050594</v>
      </c>
      <c r="C8" s="15" t="n">
        <f>C9/C6</f>
        <v>16.1071217292378</v>
      </c>
      <c r="D8" s="15" t="n">
        <f>D9/D6</f>
        <v>14.9662845669435</v>
      </c>
      <c r="E8" s="10" t="s">
        <v>162</v>
      </c>
      <c r="F8" s="22"/>
      <c r="G8" s="2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ht="27.75" customHeight="1">
      <c r="A9" s="100" t="s">
        <v>16</v>
      </c>
      <c r="B9" s="74" t="n">
        <v>93194.78</v>
      </c>
      <c r="C9" s="74" t="n">
        <v>70790.8</v>
      </c>
      <c r="D9" s="74" t="n">
        <f>SUM(B9,C9)</f>
        <v>163985.58</v>
      </c>
      <c r="E9" s="12" t="s">
        <v>163</v>
      </c>
      <c r="F9" s="21"/>
      <c r="G9" s="2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ht="27.75" customHeight="1">
      <c r="A10" s="101"/>
      <c r="B10" s="102"/>
      <c r="C10" s="102"/>
      <c r="D10" s="102"/>
      <c r="E10" s="102"/>
      <c r="F10" s="103"/>
      <c r="G10" s="2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27.75" customHeight="1">
      <c r="A11" s="97" t="s">
        <v>18</v>
      </c>
      <c r="B11" s="104"/>
      <c r="C11" s="104"/>
      <c r="D11" s="104"/>
      <c r="E11" s="104"/>
      <c r="F11" s="105"/>
      <c r="G11" s="2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ht="27.75" customHeight="1">
      <c r="A12" s="82" t="s">
        <v>19</v>
      </c>
      <c r="B12" s="37" t="s">
        <v>88</v>
      </c>
      <c r="C12" s="38"/>
      <c r="D12" s="39" t="s">
        <v>21</v>
      </c>
      <c r="E12" s="39" t="s">
        <v>22</v>
      </c>
      <c r="F12" s="87" t="s">
        <v>10</v>
      </c>
      <c r="G12" s="20"/>
      <c r="H12" s="20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ht="61.916666666666664" customHeight="1">
      <c r="A13" s="83" t="s">
        <v>89</v>
      </c>
      <c r="B13" s="114" t="s">
        <v>90</v>
      </c>
      <c r="C13" s="69"/>
      <c r="D13" s="29" t="s">
        <v>142</v>
      </c>
      <c r="E13" s="44"/>
      <c r="F13" s="91"/>
      <c r="G13" s="20"/>
      <c r="H13" s="20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27.75" customHeight="1">
      <c r="A14" s="84"/>
      <c r="B14" s="70" t="s">
        <v>99</v>
      </c>
      <c r="C14" s="69"/>
      <c r="D14" s="33" t="s">
        <v>164</v>
      </c>
      <c r="E14" s="44"/>
      <c r="F14" s="91"/>
      <c r="G14" s="20"/>
      <c r="H14" s="20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ht="27.75" customHeight="1">
      <c r="A15" s="84"/>
      <c r="B15" s="70" t="s">
        <v>102</v>
      </c>
      <c r="C15" s="69"/>
      <c r="D15" s="33" t="s">
        <v>103</v>
      </c>
      <c r="E15" s="33" t="s">
        <v>165</v>
      </c>
      <c r="F15" s="91"/>
      <c r="G15" s="20"/>
      <c r="H15" s="20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ht="27.75" customHeight="1">
      <c r="A16" s="85"/>
      <c r="B16" s="72" t="s">
        <v>106</v>
      </c>
      <c r="C16" s="73"/>
      <c r="D16" s="74" t="s">
        <v>155</v>
      </c>
      <c r="E16" s="75"/>
      <c r="F16" s="92"/>
      <c r="G16" s="20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ht="16.5" customHeight="1">
      <c r="A17" s="34"/>
      <c r="B17" s="34"/>
      <c r="C17" s="34"/>
      <c r="D17" s="34"/>
      <c r="E17" s="34"/>
      <c r="F17" s="3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ht="63.99999999999998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ht="16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ht="16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ht="16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ht="16.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ht="16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ht="16.5" customHeight="1">
      <c r="A24" s="16"/>
      <c r="B24" s="16"/>
      <c r="C24" s="16"/>
      <c r="D24" s="4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ht="16.5" customHeight="1">
      <c r="A25" s="16"/>
      <c r="B25" s="16"/>
      <c r="C25" s="16"/>
      <c r="D25" s="4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ht="16.5" customHeight="1">
      <c r="A26" s="16"/>
      <c r="B26" s="16"/>
      <c r="C26" s="16"/>
      <c r="D26" s="4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ht="16.5" customHeight="1">
      <c r="A27" s="16"/>
      <c r="B27" s="16"/>
      <c r="C27" s="16"/>
      <c r="D27" s="4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ht="16.5" customHeight="1">
      <c r="A28" s="16"/>
      <c r="B28" s="16"/>
      <c r="C28" s="16"/>
      <c r="D28" s="4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ht="16.5" customHeight="1">
      <c r="A29" s="16"/>
      <c r="B29" s="16"/>
      <c r="C29" s="16"/>
      <c r="D29" s="4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ht="16.5" customHeight="1">
      <c r="A30" s="16"/>
      <c r="B30" s="16"/>
      <c r="C30" s="16"/>
      <c r="D30" s="4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ht="16.5" customHeight="1">
      <c r="A31" s="16"/>
      <c r="B31" s="16"/>
      <c r="C31" s="16"/>
      <c r="D31" s="4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ht="16.5" customHeight="1">
      <c r="A32" s="16"/>
      <c r="B32" s="16"/>
      <c r="C32" s="16"/>
      <c r="D32" s="4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ht="16.5" customHeight="1">
      <c r="A33" s="16"/>
      <c r="B33" s="16"/>
      <c r="C33" s="16"/>
      <c r="D33" s="4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ht="16.5" customHeight="1">
      <c r="A34" s="16"/>
      <c r="B34" s="16"/>
      <c r="C34" s="16"/>
      <c r="D34" s="4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ht="16.5" customHeight="1">
      <c r="A35" s="16"/>
      <c r="B35" s="16"/>
      <c r="C35" s="16"/>
      <c r="D35" s="4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ht="16.5" customHeight="1">
      <c r="A36" s="16"/>
      <c r="B36" s="16"/>
      <c r="C36" s="16"/>
      <c r="D36" s="4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ht="16.5" customHeight="1">
      <c r="A37" s="16"/>
      <c r="B37" s="16"/>
      <c r="C37" s="16"/>
      <c r="D37" s="4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ht="16.5" customHeight="1">
      <c r="A38" s="16"/>
      <c r="B38" s="16"/>
      <c r="C38" s="16"/>
      <c r="D38" s="4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ht="16.5" customHeight="1">
      <c r="A39" s="16"/>
      <c r="B39" s="16"/>
      <c r="C39" s="16"/>
      <c r="D39" s="4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ht="16.5" customHeight="1">
      <c r="A40" s="16"/>
      <c r="B40" s="16"/>
      <c r="C40" s="16"/>
      <c r="D40" s="4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ht="16.5" customHeight="1">
      <c r="A41" s="16"/>
      <c r="B41" s="16"/>
      <c r="C41" s="16"/>
      <c r="D41" s="4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ht="16.5" customHeight="1">
      <c r="A42" s="16"/>
      <c r="B42" s="16"/>
      <c r="C42" s="16"/>
      <c r="D42" s="4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ht="16.5" customHeight="1">
      <c r="A43" s="16"/>
      <c r="B43" s="16"/>
      <c r="C43" s="16"/>
      <c r="D43" s="4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ht="16.5" customHeight="1">
      <c r="A44" s="16"/>
      <c r="B44" s="16"/>
      <c r="C44" s="16"/>
      <c r="D44" s="4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ht="16.5" customHeight="1">
      <c r="A45" s="16"/>
      <c r="B45" s="16"/>
      <c r="C45" s="16"/>
      <c r="D45" s="4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ht="16.5" customHeight="1">
      <c r="A46" s="16"/>
      <c r="B46" s="16"/>
      <c r="C46" s="16"/>
      <c r="D46" s="4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ht="16.5" customHeight="1">
      <c r="A47" s="16"/>
      <c r="B47" s="16"/>
      <c r="C47" s="16"/>
      <c r="D47" s="4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ht="16.5" customHeight="1">
      <c r="A48" s="16"/>
      <c r="B48" s="16"/>
      <c r="C48" s="16"/>
      <c r="D48" s="4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ht="16.5" customHeight="1">
      <c r="A49" s="16"/>
      <c r="B49" s="16"/>
      <c r="C49" s="16"/>
      <c r="D49" s="4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ht="16.5" customHeight="1">
      <c r="A50" s="16"/>
      <c r="B50" s="16"/>
      <c r="C50" s="16"/>
      <c r="D50" s="4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ht="16.5" customHeight="1">
      <c r="A51" s="16"/>
      <c r="B51" s="16"/>
      <c r="C51" s="16"/>
      <c r="D51" s="4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ht="16.5" customHeight="1">
      <c r="A52" s="16"/>
      <c r="B52" s="16"/>
      <c r="C52" s="16"/>
      <c r="D52" s="4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ht="16.5" customHeight="1">
      <c r="A53" s="16"/>
      <c r="B53" s="16"/>
      <c r="C53" s="16"/>
      <c r="D53" s="4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ht="16.5" customHeight="1">
      <c r="A54" s="16"/>
      <c r="B54" s="16"/>
      <c r="C54" s="16"/>
      <c r="D54" s="4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ht="16.5" customHeight="1">
      <c r="A55" s="16"/>
      <c r="B55" s="16"/>
      <c r="C55" s="16"/>
      <c r="D55" s="4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ht="16.5" customHeight="1">
      <c r="A56" s="16"/>
      <c r="B56" s="16"/>
      <c r="C56" s="16"/>
      <c r="D56" s="4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ht="16.5" customHeight="1">
      <c r="A57" s="16"/>
      <c r="B57" s="16"/>
      <c r="C57" s="16"/>
      <c r="D57" s="4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ht="16.5" customHeight="1">
      <c r="A58" s="16"/>
      <c r="B58" s="16"/>
      <c r="C58" s="16"/>
      <c r="D58" s="4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ht="16.5" customHeight="1">
      <c r="A59" s="16"/>
      <c r="B59" s="16"/>
      <c r="C59" s="16"/>
      <c r="D59" s="4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ht="16.5" customHeight="1">
      <c r="A60" s="16"/>
      <c r="B60" s="16"/>
      <c r="C60" s="16"/>
      <c r="D60" s="4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ht="16.5" customHeight="1">
      <c r="A61" s="16"/>
      <c r="B61" s="16"/>
      <c r="C61" s="16"/>
      <c r="D61" s="4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ht="16.5" customHeight="1">
      <c r="A62" s="16"/>
      <c r="B62" s="16"/>
      <c r="C62" s="16"/>
      <c r="D62" s="4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ht="16.5" customHeight="1">
      <c r="A63" s="16"/>
      <c r="B63" s="16"/>
      <c r="C63" s="16"/>
      <c r="D63" s="4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ht="16.5" customHeight="1">
      <c r="A64" s="16"/>
      <c r="B64" s="16"/>
      <c r="C64" s="16"/>
      <c r="D64" s="4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ht="16.5" customHeight="1">
      <c r="A65" s="16"/>
      <c r="B65" s="16"/>
      <c r="C65" s="16"/>
      <c r="D65" s="4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ht="16.5" customHeight="1">
      <c r="A66" s="16"/>
      <c r="B66" s="16"/>
      <c r="C66" s="16"/>
      <c r="D66" s="4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ht="16.5" customHeight="1">
      <c r="A67" s="16"/>
      <c r="B67" s="16"/>
      <c r="C67" s="16"/>
      <c r="D67" s="4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ht="16.5" customHeight="1">
      <c r="A68" s="16"/>
      <c r="B68" s="16"/>
      <c r="C68" s="16"/>
      <c r="D68" s="4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ht="16.5" customHeight="1">
      <c r="A69" s="16"/>
      <c r="B69" s="16"/>
      <c r="C69" s="16"/>
      <c r="D69" s="4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ht="16.5" customHeight="1">
      <c r="A70" s="16"/>
      <c r="B70" s="16"/>
      <c r="C70" s="16"/>
      <c r="D70" s="4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ht="16.5" customHeight="1">
      <c r="A71" s="16"/>
      <c r="B71" s="16"/>
      <c r="C71" s="16"/>
      <c r="D71" s="4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ht="16.5" customHeight="1">
      <c r="A72" s="16"/>
      <c r="B72" s="16"/>
      <c r="C72" s="16"/>
      <c r="D72" s="4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ht="16.5" customHeight="1">
      <c r="A73" s="16"/>
      <c r="B73" s="16"/>
      <c r="C73" s="16"/>
      <c r="D73" s="4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ht="16.5" customHeight="1">
      <c r="A74" s="16"/>
      <c r="B74" s="16"/>
      <c r="C74" s="16"/>
      <c r="D74" s="4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ht="16.5" customHeight="1">
      <c r="A75" s="16"/>
      <c r="B75" s="16"/>
      <c r="C75" s="16"/>
      <c r="D75" s="4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ht="16.5" customHeight="1">
      <c r="A76" s="16"/>
      <c r="B76" s="16"/>
      <c r="C76" s="16"/>
      <c r="D76" s="4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ht="16.5" customHeight="1">
      <c r="A77" s="16"/>
      <c r="B77" s="16"/>
      <c r="C77" s="16"/>
      <c r="D77" s="4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ht="16.5" customHeight="1">
      <c r="A78" s="16"/>
      <c r="B78" s="16"/>
      <c r="C78" s="16"/>
      <c r="D78" s="4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ht="16.5" customHeight="1">
      <c r="A79" s="16"/>
      <c r="B79" s="16"/>
      <c r="C79" s="16"/>
      <c r="D79" s="4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ht="16.5" customHeight="1">
      <c r="A80" s="16"/>
      <c r="B80" s="16"/>
      <c r="C80" s="16"/>
      <c r="D80" s="4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ht="16.5" customHeight="1">
      <c r="A81" s="16"/>
      <c r="B81" s="16"/>
      <c r="C81" s="16"/>
      <c r="D81" s="4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ht="16.5" customHeight="1">
      <c r="A82" s="16"/>
      <c r="B82" s="16"/>
      <c r="C82" s="16"/>
      <c r="D82" s="4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ht="16.5" customHeight="1">
      <c r="A83" s="16"/>
      <c r="B83" s="16"/>
      <c r="C83" s="16"/>
      <c r="D83" s="4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ht="16.5" customHeight="1">
      <c r="A84" s="16"/>
      <c r="B84" s="16"/>
      <c r="C84" s="16"/>
      <c r="D84" s="4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ht="16.5" customHeight="1">
      <c r="A85" s="16"/>
      <c r="B85" s="16"/>
      <c r="C85" s="16"/>
      <c r="D85" s="4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ht="16.5" customHeight="1">
      <c r="A86" s="16"/>
      <c r="B86" s="16"/>
      <c r="C86" s="16"/>
      <c r="D86" s="4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ht="16.5" customHeight="1">
      <c r="A87" s="16"/>
      <c r="B87" s="16"/>
      <c r="C87" s="16"/>
      <c r="D87" s="4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ht="16.5" customHeight="1">
      <c r="A88" s="16"/>
      <c r="B88" s="16"/>
      <c r="C88" s="16"/>
      <c r="D88" s="4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ht="16.5" customHeight="1">
      <c r="A89" s="16"/>
      <c r="B89" s="16"/>
      <c r="C89" s="16"/>
      <c r="D89" s="4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ht="16.5" customHeight="1">
      <c r="A90" s="16"/>
      <c r="B90" s="16"/>
      <c r="C90" s="16"/>
      <c r="D90" s="4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ht="16.5" customHeight="1">
      <c r="A91" s="16"/>
      <c r="B91" s="16"/>
      <c r="C91" s="16"/>
      <c r="D91" s="4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ht="16.5" customHeight="1">
      <c r="A92" s="16"/>
      <c r="B92" s="16"/>
      <c r="C92" s="16"/>
      <c r="D92" s="4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ht="16.5" customHeight="1">
      <c r="A93" s="16"/>
      <c r="B93" s="16"/>
      <c r="C93" s="16"/>
      <c r="D93" s="4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ht="16.5" customHeight="1">
      <c r="A94" s="16"/>
      <c r="B94" s="16"/>
      <c r="C94" s="16"/>
      <c r="D94" s="4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ht="16.5" customHeight="1">
      <c r="A95" s="16"/>
      <c r="B95" s="16"/>
      <c r="C95" s="16"/>
      <c r="D95" s="4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ht="16.5" customHeight="1">
      <c r="A96" s="16"/>
      <c r="B96" s="16"/>
      <c r="C96" s="16"/>
      <c r="D96" s="4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ht="16.5" customHeight="1">
      <c r="A97" s="16"/>
      <c r="B97" s="16"/>
      <c r="C97" s="16"/>
      <c r="D97" s="4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ht="16.5" customHeight="1">
      <c r="A98" s="16"/>
      <c r="B98" s="16"/>
      <c r="C98" s="16"/>
      <c r="D98" s="4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ht="16.5" customHeight="1">
      <c r="A99" s="16"/>
      <c r="B99" s="16"/>
      <c r="C99" s="16"/>
      <c r="D99" s="4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ht="16.5" customHeight="1">
      <c r="A100" s="16"/>
      <c r="B100" s="16"/>
      <c r="C100" s="16"/>
      <c r="D100" s="4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ht="16.5" customHeight="1">
      <c r="A101" s="16"/>
      <c r="B101" s="16"/>
      <c r="C101" s="16"/>
      <c r="D101" s="4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ht="16.5" customHeight="1">
      <c r="A102" s="16"/>
      <c r="B102" s="16"/>
      <c r="C102" s="16"/>
      <c r="D102" s="4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ht="16.5" customHeight="1">
      <c r="A103" s="16"/>
      <c r="B103" s="16"/>
      <c r="C103" s="16"/>
      <c r="D103" s="4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ht="16.5" customHeight="1">
      <c r="A104" s="16"/>
      <c r="B104" s="16"/>
      <c r="C104" s="16"/>
      <c r="D104" s="4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ht="16.5" customHeight="1">
      <c r="A105" s="16"/>
      <c r="B105" s="16"/>
      <c r="C105" s="16"/>
      <c r="D105" s="4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ht="16.5" customHeight="1">
      <c r="A106" s="16"/>
      <c r="B106" s="16"/>
      <c r="C106" s="16"/>
      <c r="D106" s="4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ht="16.5" customHeight="1">
      <c r="A107" s="16"/>
      <c r="B107" s="16"/>
      <c r="C107" s="16"/>
      <c r="D107" s="4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ht="16.5" customHeight="1">
      <c r="A108" s="16"/>
      <c r="B108" s="16"/>
      <c r="C108" s="16"/>
      <c r="D108" s="4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ht="16.5" customHeight="1">
      <c r="A109" s="16"/>
      <c r="B109" s="16"/>
      <c r="C109" s="16"/>
      <c r="D109" s="4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ht="16.5" customHeight="1">
      <c r="A110" s="16"/>
      <c r="B110" s="16"/>
      <c r="C110" s="16"/>
      <c r="D110" s="4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ht="16.5" customHeight="1">
      <c r="A111" s="16"/>
      <c r="B111" s="16"/>
      <c r="C111" s="16"/>
      <c r="D111" s="4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ht="16.5" customHeight="1">
      <c r="A112" s="16"/>
      <c r="B112" s="16"/>
      <c r="C112" s="16"/>
      <c r="D112" s="4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ht="16.5" customHeight="1">
      <c r="A113" s="16"/>
      <c r="B113" s="16"/>
      <c r="C113" s="16"/>
      <c r="D113" s="4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ht="16.5" customHeight="1">
      <c r="A114" s="16"/>
      <c r="B114" s="16"/>
      <c r="C114" s="16"/>
      <c r="D114" s="4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ht="16.5" customHeight="1">
      <c r="A115" s="16"/>
      <c r="B115" s="16"/>
      <c r="C115" s="16"/>
      <c r="D115" s="4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ht="16.5" customHeight="1">
      <c r="A116" s="16"/>
      <c r="B116" s="16"/>
      <c r="C116" s="16"/>
      <c r="D116" s="4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ht="16.5" customHeight="1">
      <c r="A117" s="16"/>
      <c r="B117" s="16"/>
      <c r="C117" s="16"/>
      <c r="D117" s="4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ht="16.5" customHeight="1">
      <c r="A118" s="16"/>
      <c r="B118" s="16"/>
      <c r="C118" s="16"/>
      <c r="D118" s="4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ht="16.5" customHeight="1">
      <c r="A119" s="16"/>
      <c r="B119" s="16"/>
      <c r="C119" s="16"/>
      <c r="D119" s="4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ht="16.5" customHeight="1">
      <c r="A120" s="16"/>
      <c r="B120" s="16"/>
      <c r="C120" s="16"/>
      <c r="D120" s="4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ht="16.5" customHeight="1">
      <c r="A121" s="16"/>
      <c r="B121" s="16"/>
      <c r="C121" s="16"/>
      <c r="D121" s="4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ht="16.5" customHeight="1">
      <c r="A122" s="16"/>
      <c r="B122" s="16"/>
      <c r="C122" s="16"/>
      <c r="D122" s="4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ht="16.5" customHeight="1">
      <c r="A123" s="16"/>
      <c r="B123" s="16"/>
      <c r="C123" s="16"/>
      <c r="D123" s="4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ht="16.5" customHeight="1">
      <c r="A124" s="16"/>
      <c r="B124" s="16"/>
      <c r="C124" s="16"/>
      <c r="D124" s="4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ht="16.5" customHeight="1">
      <c r="A125" s="16"/>
      <c r="B125" s="16"/>
      <c r="C125" s="16"/>
      <c r="D125" s="4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ht="16.5" customHeight="1">
      <c r="A126" s="16"/>
      <c r="B126" s="16"/>
      <c r="C126" s="16"/>
      <c r="D126" s="4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ht="16.5" customHeight="1">
      <c r="A127" s="16"/>
      <c r="B127" s="16"/>
      <c r="C127" s="16"/>
      <c r="D127" s="4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ht="16.5" customHeight="1">
      <c r="A128" s="16"/>
      <c r="B128" s="16"/>
      <c r="C128" s="16"/>
      <c r="D128" s="4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ht="16.5" customHeight="1">
      <c r="A129" s="16"/>
      <c r="B129" s="16"/>
      <c r="C129" s="16"/>
      <c r="D129" s="4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ht="16.5" customHeight="1">
      <c r="A130" s="16"/>
      <c r="B130" s="16"/>
      <c r="C130" s="16"/>
      <c r="D130" s="4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ht="16.5" customHeight="1">
      <c r="A131" s="16"/>
      <c r="B131" s="16"/>
      <c r="C131" s="16"/>
      <c r="D131" s="4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ht="16.5" customHeight="1">
      <c r="A132" s="16"/>
      <c r="B132" s="16"/>
      <c r="C132" s="16"/>
      <c r="D132" s="4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ht="16.5" customHeight="1">
      <c r="A133" s="16"/>
      <c r="B133" s="16"/>
      <c r="C133" s="16"/>
      <c r="D133" s="4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ht="16.5" customHeight="1">
      <c r="A134" s="16"/>
      <c r="B134" s="16"/>
      <c r="C134" s="16"/>
      <c r="D134" s="4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ht="16.5" customHeight="1">
      <c r="A135" s="16"/>
      <c r="B135" s="16"/>
      <c r="C135" s="16"/>
      <c r="D135" s="4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ht="16.5" customHeight="1">
      <c r="A136" s="16"/>
      <c r="B136" s="16"/>
      <c r="C136" s="16"/>
      <c r="D136" s="4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ht="16.5" customHeight="1">
      <c r="A137" s="16"/>
      <c r="B137" s="16"/>
      <c r="C137" s="16"/>
      <c r="D137" s="4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ht="16.5" customHeight="1">
      <c r="A138" s="16"/>
      <c r="B138" s="16"/>
      <c r="C138" s="16"/>
      <c r="D138" s="4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ht="16.5" customHeight="1">
      <c r="A139" s="16"/>
      <c r="B139" s="16"/>
      <c r="C139" s="16"/>
      <c r="D139" s="4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ht="16.5" customHeight="1">
      <c r="A140" s="16"/>
      <c r="B140" s="16"/>
      <c r="C140" s="16"/>
      <c r="D140" s="4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ht="16.5" customHeight="1">
      <c r="A141" s="16"/>
      <c r="B141" s="16"/>
      <c r="C141" s="16"/>
      <c r="D141" s="4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ht="16.5" customHeight="1">
      <c r="A142" s="16"/>
      <c r="B142" s="16"/>
      <c r="C142" s="16"/>
      <c r="D142" s="4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ht="16.5" customHeight="1">
      <c r="A143" s="16"/>
      <c r="B143" s="16"/>
      <c r="C143" s="16"/>
      <c r="D143" s="4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ht="16.5" customHeight="1">
      <c r="A144" s="16"/>
      <c r="B144" s="16"/>
      <c r="C144" s="16"/>
      <c r="D144" s="4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ht="16.5" customHeight="1">
      <c r="A145" s="16"/>
      <c r="B145" s="16"/>
      <c r="C145" s="16"/>
      <c r="D145" s="4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ht="16.5" customHeight="1">
      <c r="A146" s="16"/>
      <c r="B146" s="16"/>
      <c r="C146" s="16"/>
      <c r="D146" s="4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ht="16.5" customHeight="1">
      <c r="A147" s="16"/>
      <c r="B147" s="16"/>
      <c r="C147" s="16"/>
      <c r="D147" s="4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ht="16.5" customHeight="1">
      <c r="A148" s="16"/>
      <c r="B148" s="16"/>
      <c r="C148" s="16"/>
      <c r="D148" s="4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ht="16.5" customHeight="1">
      <c r="A149" s="16"/>
      <c r="B149" s="16"/>
      <c r="C149" s="16"/>
      <c r="D149" s="4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ht="16.5" customHeight="1">
      <c r="A150" s="16"/>
      <c r="B150" s="16"/>
      <c r="C150" s="16"/>
      <c r="D150" s="4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ht="16.5" customHeight="1">
      <c r="A151" s="16"/>
      <c r="B151" s="16"/>
      <c r="C151" s="16"/>
      <c r="D151" s="4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ht="16.5" customHeight="1">
      <c r="A152" s="16"/>
      <c r="B152" s="16"/>
      <c r="C152" s="16"/>
      <c r="D152" s="4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ht="16.5" customHeight="1">
      <c r="A153" s="16"/>
      <c r="B153" s="16"/>
      <c r="C153" s="16"/>
      <c r="D153" s="4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ht="16.5" customHeight="1">
      <c r="A154" s="16"/>
      <c r="B154" s="16"/>
      <c r="C154" s="16"/>
      <c r="D154" s="4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ht="16.5" customHeight="1">
      <c r="A155" s="16"/>
      <c r="B155" s="16"/>
      <c r="C155" s="16"/>
      <c r="D155" s="4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ht="16.5" customHeight="1">
      <c r="A156" s="16"/>
      <c r="B156" s="16"/>
      <c r="C156" s="16"/>
      <c r="D156" s="4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ht="16.5" customHeight="1">
      <c r="A157" s="16"/>
      <c r="B157" s="16"/>
      <c r="C157" s="16"/>
      <c r="D157" s="4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ht="16.5" customHeight="1">
      <c r="A158" s="16"/>
      <c r="B158" s="16"/>
      <c r="C158" s="16"/>
      <c r="D158" s="4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ht="16.5" customHeight="1">
      <c r="A159" s="16"/>
      <c r="B159" s="16"/>
      <c r="C159" s="16"/>
      <c r="D159" s="4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ht="16.5" customHeight="1">
      <c r="A160" s="16"/>
      <c r="B160" s="16"/>
      <c r="C160" s="16"/>
      <c r="D160" s="4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ht="16.5" customHeight="1">
      <c r="A161" s="16"/>
      <c r="B161" s="16"/>
      <c r="C161" s="16"/>
      <c r="D161" s="4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ht="16.5" customHeight="1">
      <c r="A162" s="16"/>
      <c r="B162" s="16"/>
      <c r="C162" s="16"/>
      <c r="D162" s="4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ht="16.5" customHeight="1">
      <c r="A163" s="16"/>
      <c r="B163" s="16"/>
      <c r="C163" s="16"/>
      <c r="D163" s="4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ht="16.5" customHeight="1">
      <c r="A164" s="16"/>
      <c r="B164" s="16"/>
      <c r="C164" s="16"/>
      <c r="D164" s="4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ht="16.5" customHeight="1">
      <c r="A165" s="16"/>
      <c r="B165" s="16"/>
      <c r="C165" s="16"/>
      <c r="D165" s="4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ht="16.5" customHeight="1">
      <c r="A166" s="16"/>
      <c r="B166" s="16"/>
      <c r="C166" s="16"/>
      <c r="D166" s="4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ht="16.5" customHeight="1">
      <c r="A167" s="16"/>
      <c r="B167" s="16"/>
      <c r="C167" s="16"/>
      <c r="D167" s="4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ht="16.5" customHeight="1">
      <c r="A168" s="16"/>
      <c r="B168" s="16"/>
      <c r="C168" s="16"/>
      <c r="D168" s="4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ht="16.5" customHeight="1">
      <c r="A169" s="16"/>
      <c r="B169" s="16"/>
      <c r="C169" s="16"/>
      <c r="D169" s="4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ht="16.5" customHeight="1">
      <c r="A170" s="16"/>
      <c r="B170" s="16"/>
      <c r="C170" s="16"/>
      <c r="D170" s="4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ht="16.5" customHeight="1">
      <c r="A171" s="16"/>
      <c r="B171" s="16"/>
      <c r="C171" s="16"/>
      <c r="D171" s="4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ht="16.5" customHeight="1">
      <c r="A172" s="16"/>
      <c r="B172" s="16"/>
      <c r="C172" s="16"/>
      <c r="D172" s="4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ht="16.5" customHeight="1">
      <c r="A173" s="16"/>
      <c r="B173" s="16"/>
      <c r="C173" s="16"/>
      <c r="D173" s="4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ht="16.5" customHeight="1">
      <c r="A174" s="16"/>
      <c r="B174" s="16"/>
      <c r="C174" s="16"/>
      <c r="D174" s="4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ht="16.5" customHeight="1">
      <c r="A175" s="16"/>
      <c r="B175" s="16"/>
      <c r="C175" s="16"/>
      <c r="D175" s="4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ht="16.5" customHeight="1">
      <c r="A176" s="16"/>
      <c r="B176" s="16"/>
      <c r="C176" s="16"/>
      <c r="D176" s="4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ht="16.5" customHeight="1">
      <c r="A177" s="16"/>
      <c r="B177" s="16"/>
      <c r="C177" s="16"/>
      <c r="D177" s="4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ht="16.5" customHeight="1">
      <c r="A178" s="16"/>
      <c r="B178" s="16"/>
      <c r="C178" s="16"/>
      <c r="D178" s="4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ht="16.5" customHeight="1">
      <c r="A179" s="16"/>
      <c r="B179" s="16"/>
      <c r="C179" s="16"/>
      <c r="D179" s="4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ht="16.5" customHeight="1">
      <c r="A180" s="16"/>
      <c r="B180" s="16"/>
      <c r="C180" s="16"/>
      <c r="D180" s="4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ht="16.5" customHeight="1">
      <c r="A181" s="16"/>
      <c r="B181" s="16"/>
      <c r="C181" s="16"/>
      <c r="D181" s="4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ht="16.5" customHeight="1">
      <c r="A182" s="16"/>
      <c r="B182" s="16"/>
      <c r="C182" s="16"/>
      <c r="D182" s="4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ht="16.5" customHeight="1">
      <c r="A183" s="16"/>
      <c r="B183" s="16"/>
      <c r="C183" s="16"/>
      <c r="D183" s="4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ht="16.5" customHeight="1">
      <c r="A184" s="16"/>
      <c r="B184" s="16"/>
      <c r="C184" s="16"/>
      <c r="D184" s="4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ht="16.5" customHeight="1">
      <c r="A185" s="16"/>
      <c r="B185" s="16"/>
      <c r="C185" s="16"/>
      <c r="D185" s="4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ht="16.5" customHeight="1">
      <c r="A186" s="16"/>
      <c r="B186" s="16"/>
      <c r="C186" s="16"/>
      <c r="D186" s="4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ht="16.5" customHeight="1">
      <c r="A187" s="16"/>
      <c r="B187" s="16"/>
      <c r="C187" s="16"/>
      <c r="D187" s="4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ht="16.5" customHeight="1">
      <c r="A188" s="16"/>
      <c r="B188" s="16"/>
      <c r="C188" s="16"/>
      <c r="D188" s="4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ht="16.5" customHeight="1">
      <c r="A189" s="16"/>
      <c r="B189" s="16"/>
      <c r="C189" s="16"/>
      <c r="D189" s="4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ht="16.5" customHeight="1">
      <c r="A190" s="16"/>
      <c r="B190" s="16"/>
      <c r="C190" s="16"/>
      <c r="D190" s="4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ht="16.5" customHeight="1">
      <c r="A191" s="16"/>
      <c r="B191" s="16"/>
      <c r="C191" s="16"/>
      <c r="D191" s="4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ht="16.5" customHeight="1">
      <c r="A192" s="16"/>
      <c r="B192" s="16"/>
      <c r="C192" s="16"/>
      <c r="D192" s="4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ht="16.5" customHeight="1">
      <c r="A193" s="16"/>
      <c r="B193" s="16"/>
      <c r="C193" s="16"/>
      <c r="D193" s="4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  <row r="194" ht="16.5" customHeight="1">
      <c r="A194" s="16"/>
      <c r="B194" s="16"/>
      <c r="C194" s="16"/>
      <c r="D194" s="4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</row>
    <row r="195" ht="16.5" customHeight="1">
      <c r="A195" s="16"/>
      <c r="B195" s="16"/>
      <c r="C195" s="16"/>
      <c r="D195" s="49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</row>
    <row r="196" ht="16.5" customHeight="1">
      <c r="A196" s="16"/>
      <c r="B196" s="16"/>
      <c r="C196" s="16"/>
      <c r="D196" s="49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</row>
    <row r="197" ht="16.5" customHeight="1">
      <c r="A197" s="16"/>
      <c r="B197" s="16"/>
      <c r="C197" s="16"/>
      <c r="D197" s="49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</row>
    <row r="198" ht="16.5" customHeight="1">
      <c r="A198" s="16"/>
      <c r="B198" s="16"/>
      <c r="C198" s="16"/>
      <c r="D198" s="49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</row>
  </sheetData>
  <mergeCells count="12">
    <mergeCell ref="A11:F11"/>
    <mergeCell ref="B13:C13"/>
    <mergeCell ref="B14:C14"/>
    <mergeCell ref="B15:C15"/>
    <mergeCell ref="B16:C16"/>
    <mergeCell ref="A13:A16"/>
    <mergeCell ref="B12:C12"/>
    <mergeCell ref="A1:F1"/>
    <mergeCell ref="A3:F3"/>
    <mergeCell ref="B5:D5"/>
    <mergeCell ref="B2:C2"/>
    <mergeCell ref="D2:E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7.02734375" customWidth="1"/>
    <col min="2" max="2" width="22.3740234375" customWidth="1"/>
    <col min="3" max="3" width="24.6796875" customWidth="1"/>
    <col min="4" max="4" width="32.736328125" customWidth="1" style="14"/>
    <col min="5" max="5" width="30.3603515625"/>
    <col min="6" max="6" width="34.388671875" customWidth="1"/>
  </cols>
  <sheetData>
    <row r="1" ht="26.25" customHeight="1">
      <c r="A1" s="76" t="s">
        <v>0</v>
      </c>
      <c r="B1" s="71"/>
      <c r="C1" s="71"/>
      <c r="D1" s="71"/>
      <c r="E1" s="71"/>
      <c r="F1" s="86"/>
      <c r="G1" s="2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ht="17.25" customHeight="1">
      <c r="A2" s="93"/>
      <c r="B2" s="94" t="s">
        <v>166</v>
      </c>
      <c r="C2" s="95"/>
      <c r="D2" s="94" t="s">
        <v>82</v>
      </c>
      <c r="E2" s="95"/>
      <c r="F2" s="96"/>
      <c r="G2" s="2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ht="27.75" customHeight="1">
      <c r="A3" s="97" t="s">
        <v>3</v>
      </c>
      <c r="B3" s="98"/>
      <c r="C3" s="98"/>
      <c r="D3" s="98"/>
      <c r="E3" s="98"/>
      <c r="F3" s="99"/>
      <c r="G3" s="20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ht="27.75" customHeight="1">
      <c r="A4" s="77" t="s">
        <v>5</v>
      </c>
      <c r="B4" s="39" t="s">
        <v>6</v>
      </c>
      <c r="C4" s="39" t="s">
        <v>7</v>
      </c>
      <c r="D4" s="39" t="s">
        <v>8</v>
      </c>
      <c r="E4" s="39" t="s">
        <v>9</v>
      </c>
      <c r="F4" s="87" t="s">
        <v>10</v>
      </c>
      <c r="G4" s="20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ht="27.75" customHeight="1">
      <c r="A5" s="78" t="s">
        <v>11</v>
      </c>
      <c r="B5" s="8" t="n">
        <v>49362</v>
      </c>
      <c r="C5" s="6"/>
      <c r="D5" s="6"/>
      <c r="E5" s="35" t="n">
        <v>0</v>
      </c>
      <c r="F5" s="88" t="s">
        <v>167</v>
      </c>
      <c r="G5" s="20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27.75" customHeight="1">
      <c r="A6" s="79" t="s">
        <v>12</v>
      </c>
      <c r="B6" s="31" t="n">
        <v>4995</v>
      </c>
      <c r="C6" s="31" t="n">
        <v>4198</v>
      </c>
      <c r="D6" s="31" t="n">
        <f>SUM(B6,C6)</f>
        <v>9193</v>
      </c>
      <c r="E6" s="36" t="n">
        <v>-0.0914</v>
      </c>
      <c r="F6" s="89" t="n">
        <v>-925</v>
      </c>
      <c r="G6" s="20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ht="27.75" customHeight="1">
      <c r="A7" s="80" t="s">
        <v>13</v>
      </c>
      <c r="B7" s="9" t="n">
        <v>0.0902</v>
      </c>
      <c r="C7" s="9" t="n">
        <v>0.085</v>
      </c>
      <c r="D7" s="17" t="n">
        <v>0.1852</v>
      </c>
      <c r="E7" s="40" t="n">
        <v>-0.0698</v>
      </c>
      <c r="F7" s="90" t="s">
        <v>168</v>
      </c>
      <c r="G7" s="2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ht="27.75" customHeight="1">
      <c r="A8" s="81" t="s">
        <v>15</v>
      </c>
      <c r="B8" s="31" t="n">
        <v>14.86</v>
      </c>
      <c r="C8" s="31" t="n">
        <v>16.48</v>
      </c>
      <c r="D8" s="15" t="n">
        <f>D9/D6</f>
        <v>15.6009855324704</v>
      </c>
      <c r="E8" s="24" t="s">
        <v>169</v>
      </c>
      <c r="F8" s="22" t="s">
        <v>170</v>
      </c>
      <c r="G8" s="2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ht="27.75" customHeight="1">
      <c r="A9" s="100" t="s">
        <v>16</v>
      </c>
      <c r="B9" s="74" t="n">
        <v>74254.9</v>
      </c>
      <c r="C9" s="74" t="n">
        <v>69164.96</v>
      </c>
      <c r="D9" s="74" t="n">
        <f>SUM(B9,C9)</f>
        <v>143419.86</v>
      </c>
      <c r="E9" s="41" t="n">
        <v>-0.0766</v>
      </c>
      <c r="F9" s="21" t="n">
        <v>-11892</v>
      </c>
      <c r="G9" s="2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ht="27.75" customHeight="1">
      <c r="A10" s="101"/>
      <c r="B10" s="102"/>
      <c r="C10" s="102"/>
      <c r="D10" s="102"/>
      <c r="E10" s="102"/>
      <c r="F10" s="103"/>
      <c r="G10" s="2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27.75" customHeight="1">
      <c r="A11" s="97" t="s">
        <v>18</v>
      </c>
      <c r="B11" s="104"/>
      <c r="C11" s="104"/>
      <c r="D11" s="104"/>
      <c r="E11" s="104"/>
      <c r="F11" s="105"/>
      <c r="G11" s="2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ht="27.75" customHeight="1">
      <c r="A12" s="82" t="s">
        <v>19</v>
      </c>
      <c r="B12" s="37" t="s">
        <v>88</v>
      </c>
      <c r="C12" s="38"/>
      <c r="D12" s="39" t="s">
        <v>21</v>
      </c>
      <c r="E12" s="39" t="s">
        <v>22</v>
      </c>
      <c r="F12" s="87" t="s">
        <v>10</v>
      </c>
      <c r="G12" s="20"/>
      <c r="H12" s="20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ht="61.916666666666664" customHeight="1">
      <c r="A13" s="83" t="s">
        <v>89</v>
      </c>
      <c r="B13" s="115" t="s">
        <v>90</v>
      </c>
      <c r="C13" s="69"/>
      <c r="D13" s="33" t="s">
        <v>171</v>
      </c>
      <c r="E13" s="44"/>
      <c r="F13" s="91"/>
      <c r="G13" s="20"/>
      <c r="H13" s="20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27.75" customHeight="1">
      <c r="A14" s="84"/>
      <c r="B14" s="70" t="s">
        <v>99</v>
      </c>
      <c r="C14" s="69"/>
      <c r="D14" s="33" t="s">
        <v>164</v>
      </c>
      <c r="E14" s="44"/>
      <c r="F14" s="91"/>
      <c r="G14" s="20"/>
      <c r="H14" s="20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ht="27.75" customHeight="1">
      <c r="A15" s="84"/>
      <c r="B15" s="70" t="s">
        <v>102</v>
      </c>
      <c r="C15" s="69"/>
      <c r="D15" s="33" t="s">
        <v>172</v>
      </c>
      <c r="E15" s="44"/>
      <c r="F15" s="91"/>
      <c r="G15" s="20"/>
      <c r="H15" s="20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ht="27.75" customHeight="1">
      <c r="A16" s="85"/>
      <c r="B16" s="72" t="s">
        <v>106</v>
      </c>
      <c r="C16" s="73"/>
      <c r="D16" s="74" t="s">
        <v>173</v>
      </c>
      <c r="E16" s="75"/>
      <c r="F16" s="92"/>
      <c r="G16" s="20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ht="16.5" customHeight="1">
      <c r="A17" s="34"/>
      <c r="B17" s="34"/>
      <c r="C17" s="34"/>
      <c r="D17" s="34"/>
      <c r="E17" s="34"/>
      <c r="F17" s="3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ht="63.99999999999998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ht="16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ht="16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ht="16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ht="16.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ht="16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ht="16.5" customHeight="1">
      <c r="A24" s="16"/>
      <c r="B24" s="16"/>
      <c r="C24" s="16"/>
      <c r="D24" s="4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ht="16.5" customHeight="1">
      <c r="A25" s="16"/>
      <c r="B25" s="16"/>
      <c r="C25" s="16"/>
      <c r="D25" s="4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ht="16.5" customHeight="1">
      <c r="A26" s="16"/>
      <c r="B26" s="16"/>
      <c r="C26" s="16"/>
      <c r="D26" s="4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ht="16.5" customHeight="1">
      <c r="A27" s="16"/>
      <c r="B27" s="16"/>
      <c r="C27" s="16"/>
      <c r="D27" s="4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ht="16.5" customHeight="1">
      <c r="A28" s="16"/>
      <c r="B28" s="16"/>
      <c r="C28" s="16"/>
      <c r="D28" s="4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ht="16.5" customHeight="1">
      <c r="A29" s="16"/>
      <c r="B29" s="16"/>
      <c r="C29" s="16"/>
      <c r="D29" s="4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ht="16.5" customHeight="1">
      <c r="A30" s="16"/>
      <c r="B30" s="16"/>
      <c r="C30" s="16"/>
      <c r="D30" s="4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ht="16.5" customHeight="1">
      <c r="A31" s="16"/>
      <c r="B31" s="16"/>
      <c r="C31" s="16"/>
      <c r="D31" s="4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ht="16.5" customHeight="1">
      <c r="A32" s="16"/>
      <c r="B32" s="16"/>
      <c r="C32" s="16"/>
      <c r="D32" s="4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ht="16.5" customHeight="1">
      <c r="A33" s="16"/>
      <c r="B33" s="16"/>
      <c r="C33" s="16"/>
      <c r="D33" s="4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ht="16.5" customHeight="1">
      <c r="A34" s="16"/>
      <c r="B34" s="16"/>
      <c r="C34" s="16"/>
      <c r="D34" s="4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ht="16.5" customHeight="1">
      <c r="A35" s="16"/>
      <c r="B35" s="16"/>
      <c r="C35" s="16"/>
      <c r="D35" s="4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ht="16.5" customHeight="1">
      <c r="A36" s="16"/>
      <c r="B36" s="16"/>
      <c r="C36" s="16"/>
      <c r="D36" s="4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ht="16.5" customHeight="1">
      <c r="A37" s="16"/>
      <c r="B37" s="16"/>
      <c r="C37" s="16"/>
      <c r="D37" s="4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ht="16.5" customHeight="1">
      <c r="A38" s="16"/>
      <c r="B38" s="16"/>
      <c r="C38" s="16"/>
      <c r="D38" s="4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ht="16.5" customHeight="1">
      <c r="A39" s="16"/>
      <c r="B39" s="16"/>
      <c r="C39" s="16"/>
      <c r="D39" s="4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ht="16.5" customHeight="1">
      <c r="A40" s="16"/>
      <c r="B40" s="16"/>
      <c r="C40" s="16"/>
      <c r="D40" s="4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ht="16.5" customHeight="1">
      <c r="A41" s="16"/>
      <c r="B41" s="16"/>
      <c r="C41" s="16"/>
      <c r="D41" s="4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ht="16.5" customHeight="1">
      <c r="A42" s="16"/>
      <c r="B42" s="16"/>
      <c r="C42" s="16"/>
      <c r="D42" s="4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ht="16.5" customHeight="1">
      <c r="A43" s="16"/>
      <c r="B43" s="16"/>
      <c r="C43" s="16"/>
      <c r="D43" s="4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ht="16.5" customHeight="1">
      <c r="A44" s="16"/>
      <c r="B44" s="16"/>
      <c r="C44" s="16"/>
      <c r="D44" s="4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ht="16.5" customHeight="1">
      <c r="A45" s="16"/>
      <c r="B45" s="16"/>
      <c r="C45" s="16"/>
      <c r="D45" s="4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ht="16.5" customHeight="1">
      <c r="A46" s="16"/>
      <c r="B46" s="16"/>
      <c r="C46" s="16"/>
      <c r="D46" s="4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ht="16.5" customHeight="1">
      <c r="A47" s="16"/>
      <c r="B47" s="16"/>
      <c r="C47" s="16"/>
      <c r="D47" s="4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ht="16.5" customHeight="1">
      <c r="A48" s="16"/>
      <c r="B48" s="16"/>
      <c r="C48" s="16"/>
      <c r="D48" s="4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ht="16.5" customHeight="1">
      <c r="A49" s="16"/>
      <c r="B49" s="16"/>
      <c r="C49" s="16"/>
      <c r="D49" s="4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ht="16.5" customHeight="1">
      <c r="A50" s="16"/>
      <c r="B50" s="16"/>
      <c r="C50" s="16"/>
      <c r="D50" s="4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ht="16.5" customHeight="1">
      <c r="A51" s="16"/>
      <c r="B51" s="16"/>
      <c r="C51" s="16"/>
      <c r="D51" s="4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ht="16.5" customHeight="1">
      <c r="A52" s="16"/>
      <c r="B52" s="16"/>
      <c r="C52" s="16"/>
      <c r="D52" s="4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ht="16.5" customHeight="1">
      <c r="A53" s="16"/>
      <c r="B53" s="16"/>
      <c r="C53" s="16"/>
      <c r="D53" s="4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ht="16.5" customHeight="1">
      <c r="A54" s="16"/>
      <c r="B54" s="16"/>
      <c r="C54" s="16"/>
      <c r="D54" s="4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ht="16.5" customHeight="1">
      <c r="A55" s="16"/>
      <c r="B55" s="16"/>
      <c r="C55" s="16"/>
      <c r="D55" s="4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ht="16.5" customHeight="1">
      <c r="A56" s="16"/>
      <c r="B56" s="16"/>
      <c r="C56" s="16"/>
      <c r="D56" s="4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ht="16.5" customHeight="1">
      <c r="A57" s="16"/>
      <c r="B57" s="16"/>
      <c r="C57" s="16"/>
      <c r="D57" s="4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ht="16.5" customHeight="1">
      <c r="A58" s="16"/>
      <c r="B58" s="16"/>
      <c r="C58" s="16"/>
      <c r="D58" s="4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ht="16.5" customHeight="1">
      <c r="A59" s="16"/>
      <c r="B59" s="16"/>
      <c r="C59" s="16"/>
      <c r="D59" s="4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ht="16.5" customHeight="1">
      <c r="A60" s="16"/>
      <c r="B60" s="16"/>
      <c r="C60" s="16"/>
      <c r="D60" s="4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ht="16.5" customHeight="1">
      <c r="A61" s="16"/>
      <c r="B61" s="16"/>
      <c r="C61" s="16"/>
      <c r="D61" s="4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ht="16.5" customHeight="1">
      <c r="A62" s="16"/>
      <c r="B62" s="16"/>
      <c r="C62" s="16"/>
      <c r="D62" s="4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ht="16.5" customHeight="1">
      <c r="A63" s="16"/>
      <c r="B63" s="16"/>
      <c r="C63" s="16"/>
      <c r="D63" s="4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ht="16.5" customHeight="1">
      <c r="A64" s="16"/>
      <c r="B64" s="16"/>
      <c r="C64" s="16"/>
      <c r="D64" s="4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ht="16.5" customHeight="1">
      <c r="A65" s="16"/>
      <c r="B65" s="16"/>
      <c r="C65" s="16"/>
      <c r="D65" s="4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ht="16.5" customHeight="1">
      <c r="A66" s="16"/>
      <c r="B66" s="16"/>
      <c r="C66" s="16"/>
      <c r="D66" s="4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ht="16.5" customHeight="1">
      <c r="A67" s="16"/>
      <c r="B67" s="16"/>
      <c r="C67" s="16"/>
      <c r="D67" s="4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ht="16.5" customHeight="1">
      <c r="A68" s="16"/>
      <c r="B68" s="16"/>
      <c r="C68" s="16"/>
      <c r="D68" s="4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ht="16.5" customHeight="1">
      <c r="A69" s="16"/>
      <c r="B69" s="16"/>
      <c r="C69" s="16"/>
      <c r="D69" s="4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ht="16.5" customHeight="1">
      <c r="A70" s="16"/>
      <c r="B70" s="16"/>
      <c r="C70" s="16"/>
      <c r="D70" s="4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ht="16.5" customHeight="1">
      <c r="A71" s="16"/>
      <c r="B71" s="16"/>
      <c r="C71" s="16"/>
      <c r="D71" s="4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ht="16.5" customHeight="1">
      <c r="A72" s="16"/>
      <c r="B72" s="16"/>
      <c r="C72" s="16"/>
      <c r="D72" s="4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ht="16.5" customHeight="1">
      <c r="A73" s="16"/>
      <c r="B73" s="16"/>
      <c r="C73" s="16"/>
      <c r="D73" s="4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ht="16.5" customHeight="1">
      <c r="A74" s="16"/>
      <c r="B74" s="16"/>
      <c r="C74" s="16"/>
      <c r="D74" s="4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ht="16.5" customHeight="1">
      <c r="A75" s="16"/>
      <c r="B75" s="16"/>
      <c r="C75" s="16"/>
      <c r="D75" s="4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ht="16.5" customHeight="1">
      <c r="A76" s="16"/>
      <c r="B76" s="16"/>
      <c r="C76" s="16"/>
      <c r="D76" s="4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ht="16.5" customHeight="1">
      <c r="A77" s="16"/>
      <c r="B77" s="16"/>
      <c r="C77" s="16"/>
      <c r="D77" s="4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ht="16.5" customHeight="1">
      <c r="A78" s="16"/>
      <c r="B78" s="16"/>
      <c r="C78" s="16"/>
      <c r="D78" s="4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ht="16.5" customHeight="1">
      <c r="A79" s="16"/>
      <c r="B79" s="16"/>
      <c r="C79" s="16"/>
      <c r="D79" s="4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ht="16.5" customHeight="1">
      <c r="A80" s="16"/>
      <c r="B80" s="16"/>
      <c r="C80" s="16"/>
      <c r="D80" s="4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ht="16.5" customHeight="1">
      <c r="A81" s="16"/>
      <c r="B81" s="16"/>
      <c r="C81" s="16"/>
      <c r="D81" s="4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ht="16.5" customHeight="1">
      <c r="A82" s="16"/>
      <c r="B82" s="16"/>
      <c r="C82" s="16"/>
      <c r="D82" s="4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ht="16.5" customHeight="1">
      <c r="A83" s="16"/>
      <c r="B83" s="16"/>
      <c r="C83" s="16"/>
      <c r="D83" s="4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ht="16.5" customHeight="1">
      <c r="A84" s="16"/>
      <c r="B84" s="16"/>
      <c r="C84" s="16"/>
      <c r="D84" s="4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ht="16.5" customHeight="1">
      <c r="A85" s="16"/>
      <c r="B85" s="16"/>
      <c r="C85" s="16"/>
      <c r="D85" s="4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ht="16.5" customHeight="1">
      <c r="A86" s="16"/>
      <c r="B86" s="16"/>
      <c r="C86" s="16"/>
      <c r="D86" s="4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ht="16.5" customHeight="1">
      <c r="A87" s="16"/>
      <c r="B87" s="16"/>
      <c r="C87" s="16"/>
      <c r="D87" s="4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ht="16.5" customHeight="1">
      <c r="A88" s="16"/>
      <c r="B88" s="16"/>
      <c r="C88" s="16"/>
      <c r="D88" s="4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ht="16.5" customHeight="1">
      <c r="A89" s="16"/>
      <c r="B89" s="16"/>
      <c r="C89" s="16"/>
      <c r="D89" s="4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ht="16.5" customHeight="1">
      <c r="A90" s="16"/>
      <c r="B90" s="16"/>
      <c r="C90" s="16"/>
      <c r="D90" s="4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ht="16.5" customHeight="1">
      <c r="A91" s="16"/>
      <c r="B91" s="16"/>
      <c r="C91" s="16"/>
      <c r="D91" s="4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ht="16.5" customHeight="1">
      <c r="A92" s="16"/>
      <c r="B92" s="16"/>
      <c r="C92" s="16"/>
      <c r="D92" s="4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ht="16.5" customHeight="1">
      <c r="A93" s="16"/>
      <c r="B93" s="16"/>
      <c r="C93" s="16"/>
      <c r="D93" s="4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ht="16.5" customHeight="1">
      <c r="A94" s="16"/>
      <c r="B94" s="16"/>
      <c r="C94" s="16"/>
      <c r="D94" s="4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ht="16.5" customHeight="1">
      <c r="A95" s="16"/>
      <c r="B95" s="16"/>
      <c r="C95" s="16"/>
      <c r="D95" s="4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ht="16.5" customHeight="1">
      <c r="A96" s="16"/>
      <c r="B96" s="16"/>
      <c r="C96" s="16"/>
      <c r="D96" s="4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ht="16.5" customHeight="1">
      <c r="A97" s="16"/>
      <c r="B97" s="16"/>
      <c r="C97" s="16"/>
      <c r="D97" s="4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ht="16.5" customHeight="1">
      <c r="A98" s="16"/>
      <c r="B98" s="16"/>
      <c r="C98" s="16"/>
      <c r="D98" s="4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ht="16.5" customHeight="1">
      <c r="A99" s="16"/>
      <c r="B99" s="16"/>
      <c r="C99" s="16"/>
      <c r="D99" s="4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ht="16.5" customHeight="1">
      <c r="A100" s="16"/>
      <c r="B100" s="16"/>
      <c r="C100" s="16"/>
      <c r="D100" s="4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ht="16.5" customHeight="1">
      <c r="A101" s="16"/>
      <c r="B101" s="16"/>
      <c r="C101" s="16"/>
      <c r="D101" s="4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ht="16.5" customHeight="1">
      <c r="A102" s="16"/>
      <c r="B102" s="16"/>
      <c r="C102" s="16"/>
      <c r="D102" s="4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ht="16.5" customHeight="1">
      <c r="A103" s="16"/>
      <c r="B103" s="16"/>
      <c r="C103" s="16"/>
      <c r="D103" s="4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ht="16.5" customHeight="1">
      <c r="A104" s="16"/>
      <c r="B104" s="16"/>
      <c r="C104" s="16"/>
      <c r="D104" s="4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ht="16.5" customHeight="1">
      <c r="A105" s="16"/>
      <c r="B105" s="16"/>
      <c r="C105" s="16"/>
      <c r="D105" s="4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ht="16.5" customHeight="1">
      <c r="A106" s="16"/>
      <c r="B106" s="16"/>
      <c r="C106" s="16"/>
      <c r="D106" s="4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ht="16.5" customHeight="1">
      <c r="A107" s="16"/>
      <c r="B107" s="16"/>
      <c r="C107" s="16"/>
      <c r="D107" s="4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ht="16.5" customHeight="1">
      <c r="A108" s="16"/>
      <c r="B108" s="16"/>
      <c r="C108" s="16"/>
      <c r="D108" s="4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ht="16.5" customHeight="1">
      <c r="A109" s="16"/>
      <c r="B109" s="16"/>
      <c r="C109" s="16"/>
      <c r="D109" s="4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ht="16.5" customHeight="1">
      <c r="A110" s="16"/>
      <c r="B110" s="16"/>
      <c r="C110" s="16"/>
      <c r="D110" s="4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ht="16.5" customHeight="1">
      <c r="A111" s="16"/>
      <c r="B111" s="16"/>
      <c r="C111" s="16"/>
      <c r="D111" s="4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ht="16.5" customHeight="1">
      <c r="A112" s="16"/>
      <c r="B112" s="16"/>
      <c r="C112" s="16"/>
      <c r="D112" s="4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ht="16.5" customHeight="1">
      <c r="A113" s="16"/>
      <c r="B113" s="16"/>
      <c r="C113" s="16"/>
      <c r="D113" s="4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ht="16.5" customHeight="1">
      <c r="A114" s="16"/>
      <c r="B114" s="16"/>
      <c r="C114" s="16"/>
      <c r="D114" s="4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ht="16.5" customHeight="1">
      <c r="A115" s="16"/>
      <c r="B115" s="16"/>
      <c r="C115" s="16"/>
      <c r="D115" s="4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ht="16.5" customHeight="1">
      <c r="A116" s="16"/>
      <c r="B116" s="16"/>
      <c r="C116" s="16"/>
      <c r="D116" s="4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ht="16.5" customHeight="1">
      <c r="A117" s="16"/>
      <c r="B117" s="16"/>
      <c r="C117" s="16"/>
      <c r="D117" s="4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ht="16.5" customHeight="1">
      <c r="A118" s="16"/>
      <c r="B118" s="16"/>
      <c r="C118" s="16"/>
      <c r="D118" s="4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ht="16.5" customHeight="1">
      <c r="A119" s="16"/>
      <c r="B119" s="16"/>
      <c r="C119" s="16"/>
      <c r="D119" s="4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ht="16.5" customHeight="1">
      <c r="A120" s="16"/>
      <c r="B120" s="16"/>
      <c r="C120" s="16"/>
      <c r="D120" s="4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ht="16.5" customHeight="1">
      <c r="A121" s="16"/>
      <c r="B121" s="16"/>
      <c r="C121" s="16"/>
      <c r="D121" s="4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ht="16.5" customHeight="1">
      <c r="A122" s="16"/>
      <c r="B122" s="16"/>
      <c r="C122" s="16"/>
      <c r="D122" s="4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ht="16.5" customHeight="1">
      <c r="A123" s="16"/>
      <c r="B123" s="16"/>
      <c r="C123" s="16"/>
      <c r="D123" s="4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ht="16.5" customHeight="1">
      <c r="A124" s="16"/>
      <c r="B124" s="16"/>
      <c r="C124" s="16"/>
      <c r="D124" s="4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ht="16.5" customHeight="1">
      <c r="A125" s="16"/>
      <c r="B125" s="16"/>
      <c r="C125" s="16"/>
      <c r="D125" s="4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ht="16.5" customHeight="1">
      <c r="A126" s="16"/>
      <c r="B126" s="16"/>
      <c r="C126" s="16"/>
      <c r="D126" s="4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ht="16.5" customHeight="1">
      <c r="A127" s="16"/>
      <c r="B127" s="16"/>
      <c r="C127" s="16"/>
      <c r="D127" s="4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ht="16.5" customHeight="1">
      <c r="A128" s="16"/>
      <c r="B128" s="16"/>
      <c r="C128" s="16"/>
      <c r="D128" s="4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ht="16.5" customHeight="1">
      <c r="A129" s="16"/>
      <c r="B129" s="16"/>
      <c r="C129" s="16"/>
      <c r="D129" s="4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ht="16.5" customHeight="1">
      <c r="A130" s="16"/>
      <c r="B130" s="16"/>
      <c r="C130" s="16"/>
      <c r="D130" s="4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ht="16.5" customHeight="1">
      <c r="A131" s="16"/>
      <c r="B131" s="16"/>
      <c r="C131" s="16"/>
      <c r="D131" s="4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ht="16.5" customHeight="1">
      <c r="A132" s="16"/>
      <c r="B132" s="16"/>
      <c r="C132" s="16"/>
      <c r="D132" s="4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ht="16.5" customHeight="1">
      <c r="A133" s="16"/>
      <c r="B133" s="16"/>
      <c r="C133" s="16"/>
      <c r="D133" s="4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ht="16.5" customHeight="1">
      <c r="A134" s="16"/>
      <c r="B134" s="16"/>
      <c r="C134" s="16"/>
      <c r="D134" s="4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ht="16.5" customHeight="1">
      <c r="A135" s="16"/>
      <c r="B135" s="16"/>
      <c r="C135" s="16"/>
      <c r="D135" s="4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ht="16.5" customHeight="1">
      <c r="A136" s="16"/>
      <c r="B136" s="16"/>
      <c r="C136" s="16"/>
      <c r="D136" s="4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ht="16.5" customHeight="1">
      <c r="A137" s="16"/>
      <c r="B137" s="16"/>
      <c r="C137" s="16"/>
      <c r="D137" s="4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ht="16.5" customHeight="1">
      <c r="A138" s="16"/>
      <c r="B138" s="16"/>
      <c r="C138" s="16"/>
      <c r="D138" s="4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ht="16.5" customHeight="1">
      <c r="A139" s="16"/>
      <c r="B139" s="16"/>
      <c r="C139" s="16"/>
      <c r="D139" s="4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ht="16.5" customHeight="1">
      <c r="A140" s="16"/>
      <c r="B140" s="16"/>
      <c r="C140" s="16"/>
      <c r="D140" s="4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ht="16.5" customHeight="1">
      <c r="A141" s="16"/>
      <c r="B141" s="16"/>
      <c r="C141" s="16"/>
      <c r="D141" s="4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ht="16.5" customHeight="1">
      <c r="A142" s="16"/>
      <c r="B142" s="16"/>
      <c r="C142" s="16"/>
      <c r="D142" s="4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ht="16.5" customHeight="1">
      <c r="A143" s="16"/>
      <c r="B143" s="16"/>
      <c r="C143" s="16"/>
      <c r="D143" s="4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ht="16.5" customHeight="1">
      <c r="A144" s="16"/>
      <c r="B144" s="16"/>
      <c r="C144" s="16"/>
      <c r="D144" s="4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ht="16.5" customHeight="1">
      <c r="A145" s="16"/>
      <c r="B145" s="16"/>
      <c r="C145" s="16"/>
      <c r="D145" s="4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ht="16.5" customHeight="1">
      <c r="A146" s="16"/>
      <c r="B146" s="16"/>
      <c r="C146" s="16"/>
      <c r="D146" s="4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ht="16.5" customHeight="1">
      <c r="A147" s="16"/>
      <c r="B147" s="16"/>
      <c r="C147" s="16"/>
      <c r="D147" s="4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ht="16.5" customHeight="1">
      <c r="A148" s="16"/>
      <c r="B148" s="16"/>
      <c r="C148" s="16"/>
      <c r="D148" s="4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ht="16.5" customHeight="1">
      <c r="A149" s="16"/>
      <c r="B149" s="16"/>
      <c r="C149" s="16"/>
      <c r="D149" s="4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ht="16.5" customHeight="1">
      <c r="A150" s="16"/>
      <c r="B150" s="16"/>
      <c r="C150" s="16"/>
      <c r="D150" s="4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ht="16.5" customHeight="1">
      <c r="A151" s="16"/>
      <c r="B151" s="16"/>
      <c r="C151" s="16"/>
      <c r="D151" s="4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ht="16.5" customHeight="1">
      <c r="A152" s="16"/>
      <c r="B152" s="16"/>
      <c r="C152" s="16"/>
      <c r="D152" s="4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ht="16.5" customHeight="1">
      <c r="A153" s="16"/>
      <c r="B153" s="16"/>
      <c r="C153" s="16"/>
      <c r="D153" s="4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ht="16.5" customHeight="1">
      <c r="A154" s="16"/>
      <c r="B154" s="16"/>
      <c r="C154" s="16"/>
      <c r="D154" s="4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ht="16.5" customHeight="1">
      <c r="A155" s="16"/>
      <c r="B155" s="16"/>
      <c r="C155" s="16"/>
      <c r="D155" s="4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ht="16.5" customHeight="1">
      <c r="A156" s="16"/>
      <c r="B156" s="16"/>
      <c r="C156" s="16"/>
      <c r="D156" s="4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ht="16.5" customHeight="1">
      <c r="A157" s="16"/>
      <c r="B157" s="16"/>
      <c r="C157" s="16"/>
      <c r="D157" s="4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ht="16.5" customHeight="1">
      <c r="A158" s="16"/>
      <c r="B158" s="16"/>
      <c r="C158" s="16"/>
      <c r="D158" s="4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ht="16.5" customHeight="1">
      <c r="A159" s="16"/>
      <c r="B159" s="16"/>
      <c r="C159" s="16"/>
      <c r="D159" s="4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ht="16.5" customHeight="1">
      <c r="A160" s="16"/>
      <c r="B160" s="16"/>
      <c r="C160" s="16"/>
      <c r="D160" s="4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ht="16.5" customHeight="1">
      <c r="A161" s="16"/>
      <c r="B161" s="16"/>
      <c r="C161" s="16"/>
      <c r="D161" s="4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ht="16.5" customHeight="1">
      <c r="A162" s="16"/>
      <c r="B162" s="16"/>
      <c r="C162" s="16"/>
      <c r="D162" s="4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ht="16.5" customHeight="1">
      <c r="A163" s="16"/>
      <c r="B163" s="16"/>
      <c r="C163" s="16"/>
      <c r="D163" s="4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ht="16.5" customHeight="1">
      <c r="A164" s="16"/>
      <c r="B164" s="16"/>
      <c r="C164" s="16"/>
      <c r="D164" s="4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ht="16.5" customHeight="1">
      <c r="A165" s="16"/>
      <c r="B165" s="16"/>
      <c r="C165" s="16"/>
      <c r="D165" s="4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ht="16.5" customHeight="1">
      <c r="A166" s="16"/>
      <c r="B166" s="16"/>
      <c r="C166" s="16"/>
      <c r="D166" s="4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ht="16.5" customHeight="1">
      <c r="A167" s="16"/>
      <c r="B167" s="16"/>
      <c r="C167" s="16"/>
      <c r="D167" s="4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ht="16.5" customHeight="1">
      <c r="A168" s="16"/>
      <c r="B168" s="16"/>
      <c r="C168" s="16"/>
      <c r="D168" s="4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ht="16.5" customHeight="1">
      <c r="A169" s="16"/>
      <c r="B169" s="16"/>
      <c r="C169" s="16"/>
      <c r="D169" s="4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ht="16.5" customHeight="1">
      <c r="A170" s="16"/>
      <c r="B170" s="16"/>
      <c r="C170" s="16"/>
      <c r="D170" s="4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ht="16.5" customHeight="1">
      <c r="A171" s="16"/>
      <c r="B171" s="16"/>
      <c r="C171" s="16"/>
      <c r="D171" s="4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ht="16.5" customHeight="1">
      <c r="A172" s="16"/>
      <c r="B172" s="16"/>
      <c r="C172" s="16"/>
      <c r="D172" s="4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ht="16.5" customHeight="1">
      <c r="A173" s="16"/>
      <c r="B173" s="16"/>
      <c r="C173" s="16"/>
      <c r="D173" s="4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ht="16.5" customHeight="1">
      <c r="A174" s="16"/>
      <c r="B174" s="16"/>
      <c r="C174" s="16"/>
      <c r="D174" s="4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ht="16.5" customHeight="1">
      <c r="A175" s="16"/>
      <c r="B175" s="16"/>
      <c r="C175" s="16"/>
      <c r="D175" s="4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ht="16.5" customHeight="1">
      <c r="A176" s="16"/>
      <c r="B176" s="16"/>
      <c r="C176" s="16"/>
      <c r="D176" s="4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ht="16.5" customHeight="1">
      <c r="A177" s="16"/>
      <c r="B177" s="16"/>
      <c r="C177" s="16"/>
      <c r="D177" s="4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ht="16.5" customHeight="1">
      <c r="A178" s="16"/>
      <c r="B178" s="16"/>
      <c r="C178" s="16"/>
      <c r="D178" s="4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ht="16.5" customHeight="1">
      <c r="A179" s="16"/>
      <c r="B179" s="16"/>
      <c r="C179" s="16"/>
      <c r="D179" s="4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ht="16.5" customHeight="1">
      <c r="A180" s="16"/>
      <c r="B180" s="16"/>
      <c r="C180" s="16"/>
      <c r="D180" s="4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ht="16.5" customHeight="1">
      <c r="A181" s="16"/>
      <c r="B181" s="16"/>
      <c r="C181" s="16"/>
      <c r="D181" s="4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ht="16.5" customHeight="1">
      <c r="A182" s="16"/>
      <c r="B182" s="16"/>
      <c r="C182" s="16"/>
      <c r="D182" s="4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ht="16.5" customHeight="1">
      <c r="A183" s="16"/>
      <c r="B183" s="16"/>
      <c r="C183" s="16"/>
      <c r="D183" s="4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ht="16.5" customHeight="1">
      <c r="A184" s="16"/>
      <c r="B184" s="16"/>
      <c r="C184" s="16"/>
      <c r="D184" s="4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ht="16.5" customHeight="1">
      <c r="A185" s="16"/>
      <c r="B185" s="16"/>
      <c r="C185" s="16"/>
      <c r="D185" s="4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ht="16.5" customHeight="1">
      <c r="A186" s="16"/>
      <c r="B186" s="16"/>
      <c r="C186" s="16"/>
      <c r="D186" s="4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ht="16.5" customHeight="1">
      <c r="A187" s="16"/>
      <c r="B187" s="16"/>
      <c r="C187" s="16"/>
      <c r="D187" s="4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ht="16.5" customHeight="1">
      <c r="A188" s="16"/>
      <c r="B188" s="16"/>
      <c r="C188" s="16"/>
      <c r="D188" s="4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ht="16.5" customHeight="1">
      <c r="A189" s="16"/>
      <c r="B189" s="16"/>
      <c r="C189" s="16"/>
      <c r="D189" s="4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ht="16.5" customHeight="1">
      <c r="A190" s="16"/>
      <c r="B190" s="16"/>
      <c r="C190" s="16"/>
      <c r="D190" s="4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ht="16.5" customHeight="1">
      <c r="A191" s="16"/>
      <c r="B191" s="16"/>
      <c r="C191" s="16"/>
      <c r="D191" s="4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ht="16.5" customHeight="1">
      <c r="A192" s="16"/>
      <c r="B192" s="16"/>
      <c r="C192" s="16"/>
      <c r="D192" s="4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ht="16.5" customHeight="1">
      <c r="A193" s="16"/>
      <c r="B193" s="16"/>
      <c r="C193" s="16"/>
      <c r="D193" s="4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  <row r="194" ht="16.5" customHeight="1">
      <c r="A194" s="16"/>
      <c r="B194" s="16"/>
      <c r="C194" s="16"/>
      <c r="D194" s="4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</row>
    <row r="195" ht="16.5" customHeight="1">
      <c r="A195" s="16"/>
      <c r="B195" s="16"/>
      <c r="C195" s="16"/>
      <c r="D195" s="49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</row>
    <row r="196" ht="16.5" customHeight="1">
      <c r="A196" s="16"/>
      <c r="B196" s="16"/>
      <c r="C196" s="16"/>
      <c r="D196" s="49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</row>
    <row r="197" ht="16.5" customHeight="1">
      <c r="A197" s="16"/>
      <c r="B197" s="16"/>
      <c r="C197" s="16"/>
      <c r="D197" s="49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</row>
    <row r="198" ht="16.5" customHeight="1">
      <c r="A198" s="16"/>
      <c r="B198" s="16"/>
      <c r="C198" s="16"/>
      <c r="D198" s="49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</row>
  </sheetData>
  <mergeCells count="12">
    <mergeCell ref="B2:C2"/>
    <mergeCell ref="D2:E2"/>
    <mergeCell ref="A11:F11"/>
    <mergeCell ref="B13:C13"/>
    <mergeCell ref="B14:C14"/>
    <mergeCell ref="B15:C15"/>
    <mergeCell ref="B16:C16"/>
    <mergeCell ref="A13:A16"/>
    <mergeCell ref="B12:C12"/>
    <mergeCell ref="A1:F1"/>
    <mergeCell ref="A3:F3"/>
    <mergeCell ref="B5:D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2026-03-04T16:43:35Z</dcterms:modified>
</cp:coreProperties>
</file>